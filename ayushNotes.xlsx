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A1CE8B0A-F405-422C-AAD8-2F7342F8E5E6}" xr6:coauthVersionLast="47" xr6:coauthVersionMax="47" xr10:uidLastSave="{00000000-0000-0000-0000-000000000000}"/>
  <bookViews>
    <workbookView xWindow="240" yWindow="105" windowWidth="14805" windowHeight="8010" firstSheet="1" activeTab="1" xr2:uid="{00000000-000D-0000-FFFF-FFFF00000000}"/>
  </bookViews>
  <sheets>
    <sheet name="Pamplates" sheetId="7" r:id="rId1"/>
    <sheet name="Portals" sheetId="1" r:id="rId2"/>
    <sheet name="PAID CLAIM FORMATE" sheetId="15" r:id="rId3"/>
    <sheet name="insurnace contact Numbers " sheetId="11" r:id="rId4"/>
    <sheet name="Target" sheetId="9" r:id="rId5"/>
    <sheet name="Buddyapp" sheetId="12" r:id="rId6"/>
    <sheet name="TeaMaster" sheetId="13" r:id="rId7"/>
    <sheet name="Scenerios of denials" sheetId="10" r:id="rId8"/>
    <sheet name="needToRemember" sheetId="3" r:id="rId9"/>
    <sheet name="Process notes " sheetId="6" r:id="rId10"/>
    <sheet name="activities" sheetId="5" r:id="rId11"/>
    <sheet name="magged mina pass" sheetId="19" r:id="rId12"/>
  </sheets>
  <definedNames>
    <definedName name="_xlnm._FilterDatabase" localSheetId="3" hidden="1">'insurnace contact Numbers '!$A$1:$F$67</definedName>
    <definedName name="_xlnm._FilterDatabase" localSheetId="10" hidden="1">activities!$F$1:$G$51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9" l="1"/>
  <c r="D41" i="9"/>
  <c r="D43" i="9"/>
  <c r="D45" i="9"/>
  <c r="D46" i="9"/>
  <c r="D47" i="9"/>
  <c r="D48" i="9"/>
  <c r="D49" i="9"/>
  <c r="D50" i="9"/>
  <c r="D51" i="9"/>
  <c r="D52" i="9"/>
  <c r="D53" i="9"/>
  <c r="D54" i="9"/>
  <c r="D37" i="9"/>
  <c r="D36" i="9"/>
  <c r="D35" i="9"/>
  <c r="D34" i="9"/>
  <c r="D33" i="9"/>
  <c r="D28" i="9"/>
  <c r="D29" i="9"/>
  <c r="D30" i="9"/>
  <c r="D31" i="9"/>
  <c r="D23" i="9"/>
  <c r="D24" i="9"/>
  <c r="D27" i="9"/>
  <c r="D21" i="9"/>
  <c r="Y24" i="9"/>
  <c r="D4" i="9"/>
  <c r="D5" i="9"/>
  <c r="D6" i="9"/>
  <c r="D7" i="9"/>
  <c r="D9" i="9"/>
  <c r="D10" i="9"/>
  <c r="D11" i="9"/>
  <c r="D12" i="9"/>
  <c r="D13" i="9"/>
  <c r="D15" i="9"/>
  <c r="D16" i="9"/>
  <c r="D17" i="9"/>
  <c r="D18" i="9"/>
  <c r="D19" i="9"/>
  <c r="D3" i="9"/>
  <c r="Z12" i="1"/>
  <c r="Z13" i="1"/>
  <c r="Z9" i="1"/>
  <c r="Z10" i="1"/>
  <c r="Z11" i="1"/>
  <c r="Q8" i="9"/>
  <c r="R8" i="9"/>
  <c r="S8" i="9"/>
  <c r="P8" i="9"/>
</calcChain>
</file>

<file path=xl/sharedStrings.xml><?xml version="1.0" encoding="utf-8"?>
<sst xmlns="http://schemas.openxmlformats.org/spreadsheetml/2006/main" count="1261" uniqueCount="795">
  <si>
    <t>call back and fax number.</t>
  </si>
  <si>
    <t>Call back # 212-372-7672 EXT:-230473
* Fax# -5097695453 ;</t>
  </si>
  <si>
    <t>insurance calling pamplate</t>
  </si>
  <si>
    <t xml:space="preserve">rep Name - Nova D
ref# - Nova D &amp; 
Call back # 212-372-7672 EXT:-230473
Fax# -5097695453 attn to Joy </t>
  </si>
  <si>
    <t>IT teams</t>
  </si>
  <si>
    <t>priyam singh, aman kumar.</t>
  </si>
  <si>
    <t>“Hello, this is Joy calling from [Provider’s Office Name]. I’m calling to check on the status of a claim. When you have a moment, please give me a call back at 212-372-7672, extension 230473. Thank you very much, and have a great day!”</t>
  </si>
  <si>
    <t>As per review found that the claim was billed to boon chapman and denied cpt 99407 for noncovered, as checked found no remark code inside the eob, hence called to boon chapman @855-370-0656 to know the particular reason for the denial, claim routed towards the voice, tried multiple times didn't able to connect the live rep, hence lvm, inv moved to vm. claim# 22559281900</t>
  </si>
  <si>
    <t>lia</t>
  </si>
  <si>
    <t>rahulkumar.patel</t>
  </si>
  <si>
    <t>Delhi@delhi@delhi@7392</t>
  </si>
  <si>
    <t>https://deu01.safelinks.protection.outlook.com/?url=https%3A%2F%2Fdrive.google.com%2Fdrive%2Ffolders%2F1VxoxrH-qzYUPONTiNyQNUn7xfHBIoNyu&amp;data=05%7C02%7C%7Ce51ea0d1fc3e45dfa34108de2ab05081%7C69602cf4a76e4265955f03c329c50608%7C0%7C0%7C638995135070866810%7CUnknown%7CTWFpbGZsb3d8eyJFbXB0eU1hcGkiOnRydWUsIlYiOiIwLjAuMDAwMCIsIlAiOiJXaW4zMiIsIkFOIjoiTWFpbCIsIldUIjoyfQ%3D%3D%7C60000%7C%7C%7C&amp;sdata=RFplzPCLU6FaXH209%2BlnnuVFqDUfJBU5gz%2F82ssZSGk%3D&amp;reserved=0</t>
  </si>
  <si>
    <t>Lec</t>
  </si>
  <si>
    <t>rep1</t>
  </si>
  <si>
    <t>rep2</t>
  </si>
  <si>
    <t>rep3</t>
  </si>
  <si>
    <t>rep4</t>
  </si>
  <si>
    <t>rep5</t>
  </si>
  <si>
    <t>rep6</t>
  </si>
  <si>
    <t>rep7</t>
  </si>
  <si>
    <t>rep8</t>
  </si>
  <si>
    <t>rep9</t>
  </si>
  <si>
    <t>cgm home portal</t>
  </si>
  <si>
    <t>Home - cgmone</t>
  </si>
  <si>
    <t>ayush.mehra@cgm.com</t>
  </si>
  <si>
    <t>Infocity@12345678123456</t>
  </si>
  <si>
    <t>aims</t>
  </si>
  <si>
    <t>eMDs AIMS Software</t>
  </si>
  <si>
    <t>indiamde\mehraayush6411</t>
  </si>
  <si>
    <t>Login@login@login@6411</t>
  </si>
  <si>
    <t>January</t>
  </si>
  <si>
    <t>totara</t>
  </si>
  <si>
    <t>Totara</t>
  </si>
  <si>
    <t xml:space="preserve">CGM Domainid </t>
  </si>
  <si>
    <t>RCM\160500052025</t>
  </si>
  <si>
    <t>February</t>
  </si>
  <si>
    <t>CGM one</t>
  </si>
  <si>
    <t>RCM/POP Domain Id</t>
  </si>
  <si>
    <t>RCM\ayush.mehra6411</t>
  </si>
  <si>
    <t>March</t>
  </si>
  <si>
    <t>SOPs confluence</t>
  </si>
  <si>
    <t>https://confluence.cgm.ag/</t>
  </si>
  <si>
    <t>April</t>
  </si>
  <si>
    <t>aprima RDP</t>
  </si>
  <si>
    <t>RD Web Access</t>
  </si>
  <si>
    <t>ayush.mehra6411@emds.com</t>
  </si>
  <si>
    <t>Office@office@office@6411</t>
  </si>
  <si>
    <t>isi ka password aaya h abhi tk</t>
  </si>
  <si>
    <t>May</t>
  </si>
  <si>
    <t>rent+ele</t>
  </si>
  <si>
    <t>food</t>
  </si>
  <si>
    <t>self</t>
  </si>
  <si>
    <t>greytHR.</t>
  </si>
  <si>
    <t>Login</t>
  </si>
  <si>
    <t>&lt;131650&gt;</t>
  </si>
  <si>
    <t>June</t>
  </si>
  <si>
    <t>saving</t>
  </si>
  <si>
    <t>ekos</t>
  </si>
  <si>
    <t>nikhil bhai emedix</t>
  </si>
  <si>
    <t>05951nsehgal6026</t>
  </si>
  <si>
    <t>Nikhil@123456789</t>
  </si>
  <si>
    <t>July</t>
  </si>
  <si>
    <t>Aria Platform:</t>
  </si>
  <si>
    <t>1b2T9e2JvEHv8ri%#Z_j</t>
  </si>
  <si>
    <t>nikhil.sehgal@cgm.com</t>
  </si>
  <si>
    <t>faridabaddelhi2001faridabad</t>
  </si>
  <si>
    <t>August</t>
  </si>
  <si>
    <t>10k</t>
  </si>
  <si>
    <t>Aprima- Dallas Azure</t>
  </si>
  <si>
    <t>rcmaxm00</t>
  </si>
  <si>
    <t>TempPassword-RA1PCPp</t>
  </si>
  <si>
    <t>September</t>
  </si>
  <si>
    <t>emedix</t>
  </si>
  <si>
    <t>EMEDIX Online - eMEDIX</t>
  </si>
  <si>
    <t>05951amehra6411</t>
  </si>
  <si>
    <t>Temp@123456789</t>
  </si>
  <si>
    <t>father's middle name - cgm</t>
  </si>
  <si>
    <t>ayush and Aashi paid claims 06162025-.xlsx</t>
  </si>
  <si>
    <t>October</t>
  </si>
  <si>
    <t>chatCGM</t>
  </si>
  <si>
    <t>https://us.chat.cgm.ag/chat</t>
  </si>
  <si>
    <t>November</t>
  </si>
  <si>
    <t>PHYSICAL MEDICINE AND REHABILITATION CENTER PA</t>
  </si>
  <si>
    <t>Billing2</t>
  </si>
  <si>
    <t>p- @ngryPatch41</t>
  </si>
  <si>
    <t>Patient AR 06-05-2025 OPC 1.xls</t>
  </si>
  <si>
    <t>December</t>
  </si>
  <si>
    <t>PERFORMANCE ORTHOPAEDICS &amp; SPORTS MEDICINE</t>
  </si>
  <si>
    <t>RCMBiller2</t>
  </si>
  <si>
    <t>oddToo+h40</t>
  </si>
  <si>
    <t>emds for solcer</t>
  </si>
  <si>
    <t>https://emdsrds.emds.com/RDWeb/Pages/en-US/Default.aspx</t>
  </si>
  <si>
    <t>emds\ayush.mehra</t>
  </si>
  <si>
    <t>ExWg9qfGuAA=K3C%9hHS</t>
  </si>
  <si>
    <t xml:space="preserve"> emds\ayush.mehra</t>
  </si>
  <si>
    <t>for IT ticket</t>
  </si>
  <si>
    <t>Matrix42 Software Asset &amp; Service Management</t>
  </si>
  <si>
    <t>alice.cgm.ag/</t>
  </si>
  <si>
    <t>singh, priyam</t>
  </si>
  <si>
    <t>kumar, aman</t>
  </si>
  <si>
    <t>ojt</t>
  </si>
  <si>
    <t>Total</t>
  </si>
  <si>
    <t>Ac</t>
  </si>
  <si>
    <t>week1</t>
  </si>
  <si>
    <t>week2</t>
  </si>
  <si>
    <t>UHC</t>
  </si>
  <si>
    <t>pmrrcm0162</t>
  </si>
  <si>
    <t>Password@0123456789</t>
  </si>
  <si>
    <t>week3</t>
  </si>
  <si>
    <t>Solcer</t>
  </si>
  <si>
    <t>05951ntripathi6190</t>
  </si>
  <si>
    <t>Welcome@123456789</t>
  </si>
  <si>
    <t>Nishant bhai</t>
  </si>
  <si>
    <t>irfan qureshi ajaysir</t>
  </si>
  <si>
    <t>ajayt2165</t>
  </si>
  <si>
    <t>Lost@789</t>
  </si>
  <si>
    <t>OPC Shivam</t>
  </si>
  <si>
    <t>shivamc</t>
  </si>
  <si>
    <t>password1</t>
  </si>
  <si>
    <t>vrawat</t>
  </si>
  <si>
    <t>Jorge Armando Diaz M.D</t>
  </si>
  <si>
    <t>ayushm6411</t>
  </si>
  <si>
    <t>password</t>
  </si>
  <si>
    <t>Noida@123456789</t>
  </si>
  <si>
    <t>Noida@123456789123456</t>
  </si>
  <si>
    <t>Amir Salim</t>
  </si>
  <si>
    <t>Elizabeth Bryan MD</t>
  </si>
  <si>
    <t>Kind regards,</t>
  </si>
  <si>
    <t>Irfan Qureshi MD</t>
  </si>
  <si>
    <t>WACO Heart and Cardio</t>
  </si>
  <si>
    <t>Ayush Mehra</t>
  </si>
  <si>
    <t>Dr. Maged Mina</t>
  </si>
  <si>
    <t>Bossier Family Medicine</t>
  </si>
  <si>
    <t>Senior Associate - Claims Management</t>
  </si>
  <si>
    <t>Username</t>
  </si>
  <si>
    <t>Password</t>
  </si>
  <si>
    <t>Department</t>
  </si>
  <si>
    <t>mina\Biller1</t>
  </si>
  <si>
    <t>Elephant.2025##</t>
  </si>
  <si>
    <t>EDI/PE</t>
  </si>
  <si>
    <t>Donald Baseman DO</t>
  </si>
  <si>
    <t>mina\Biller2</t>
  </si>
  <si>
    <t>Fantastic.2025##</t>
  </si>
  <si>
    <t>DHT/Payments</t>
  </si>
  <si>
    <t>Albemarle Medical Associate PLLC</t>
  </si>
  <si>
    <t>mina\Biller3</t>
  </si>
  <si>
    <t>Guitar.2025##</t>
  </si>
  <si>
    <t>DHT/Charges</t>
  </si>
  <si>
    <t>Shackelford County Health Clinic</t>
  </si>
  <si>
    <t>BCFC\Biller2</t>
  </si>
  <si>
    <t>eMDsRCM1!</t>
  </si>
  <si>
    <t>atomar/Lost@789</t>
  </si>
  <si>
    <t>mina\Biller4</t>
  </si>
  <si>
    <t>Horizon.2025##</t>
  </si>
  <si>
    <t>DHT/Coding/Imp Team</t>
  </si>
  <si>
    <t>Sonora Primary Care</t>
  </si>
  <si>
    <t>mina\Biller5</t>
  </si>
  <si>
    <t>Incredible.2025##</t>
  </si>
  <si>
    <t>Austin Team</t>
  </si>
  <si>
    <t>Dover Shores  family practice</t>
  </si>
  <si>
    <t>citrix</t>
  </si>
  <si>
    <t>Carolina Family Practice</t>
  </si>
  <si>
    <t>amehra</t>
  </si>
  <si>
    <t>My OPC</t>
  </si>
  <si>
    <t>Infocity</t>
  </si>
  <si>
    <t xml:space="preserve">user </t>
  </si>
  <si>
    <t>id</t>
  </si>
  <si>
    <t>Maged mina</t>
  </si>
  <si>
    <t>Biller3</t>
  </si>
  <si>
    <t>Light.2025##</t>
  </si>
  <si>
    <t>ayush</t>
  </si>
  <si>
    <t>PFY</t>
  </si>
  <si>
    <t>need access for filing claims</t>
  </si>
  <si>
    <t>Deshazo</t>
  </si>
  <si>
    <t>ayushm6411s</t>
  </si>
  <si>
    <t>Albemarle Medical Associates</t>
  </si>
  <si>
    <t>atomar</t>
  </si>
  <si>
    <t>spc</t>
  </si>
  <si>
    <t>nishant aria</t>
  </si>
  <si>
    <t>10.1.23.91</t>
  </si>
  <si>
    <t>ama.local\biller1</t>
  </si>
  <si>
    <t> </t>
  </si>
  <si>
    <t>ama.local\biller2</t>
  </si>
  <si>
    <t>Am@2020!</t>
  </si>
  <si>
    <t>medicaid aria nishant AMA</t>
  </si>
  <si>
    <t>house1</t>
  </si>
  <si>
    <t>Medical2020</t>
  </si>
  <si>
    <t>aria platform nishant</t>
  </si>
  <si>
    <t>nishant.tripathi@cgm.com</t>
  </si>
  <si>
    <t xml:space="preserve">Happywintersnoida@2025
 </t>
  </si>
  <si>
    <t>SHIVAM bhai ki id</t>
  </si>
  <si>
    <t>shivamc5005</t>
  </si>
  <si>
    <t xml:space="preserve">Mina  vishal id </t>
  </si>
  <si>
    <t>vsharma</t>
  </si>
  <si>
    <t>availity nishant</t>
  </si>
  <si>
    <t>availity opc</t>
  </si>
  <si>
    <t>OPCRCM</t>
  </si>
  <si>
    <t>availity CFP</t>
  </si>
  <si>
    <t>RCMTeam024</t>
  </si>
  <si>
    <t>Winter@1234</t>
  </si>
  <si>
    <t>AVAILITY JADM</t>
  </si>
  <si>
    <t>jadrcm1</t>
  </si>
  <si>
    <t>Noida@123456</t>
  </si>
  <si>
    <t>AMA DSFP</t>
  </si>
  <si>
    <t>komal.lnu4@cgm.com</t>
  </si>
  <si>
    <t>Availity PFY</t>
  </si>
  <si>
    <t>VRAWAT001</t>
  </si>
  <si>
    <t>Winter@2025</t>
  </si>
  <si>
    <t>Wellmed</t>
  </si>
  <si>
    <t>Roko@1820</t>
  </si>
  <si>
    <t>https://auth.exelatech.com//realms/exela-consumers/protocol/openid-connect/auth?response_type=code&amp;…</t>
  </si>
  <si>
    <t>uhc nishant</t>
  </si>
  <si>
    <t>JADMRCM01</t>
  </si>
  <si>
    <t>Noida@552353</t>
  </si>
  <si>
    <t>UHC JADM</t>
  </si>
  <si>
    <t>sislam44092</t>
  </si>
  <si>
    <t>Newlogin@12345</t>
  </si>
  <si>
    <t>UHC dsfp</t>
  </si>
  <si>
    <t>uhc asmp</t>
  </si>
  <si>
    <t>Novitasphere</t>
  </si>
  <si>
    <t>OPCemds</t>
  </si>
  <si>
    <t>Newemdslogin@1234</t>
  </si>
  <si>
    <t xml:space="preserve">opc medicare </t>
  </si>
  <si>
    <t>taskman formate</t>
  </si>
  <si>
    <t>https://sites.google.com/view/cgm-aria/Taskman-Format</t>
  </si>
  <si>
    <t>ajay sir taskman formate</t>
  </si>
  <si>
    <t>TaskMan Tracker.xlsx</t>
  </si>
  <si>
    <t xml:space="preserve">my allocation </t>
  </si>
  <si>
    <t>Ayush production.xlsx</t>
  </si>
  <si>
    <t xml:space="preserve">Links </t>
  </si>
  <si>
    <t>ayush allocation</t>
  </si>
  <si>
    <t xml:space="preserve">my production </t>
  </si>
  <si>
    <t>eMDs Attendance Tracker 2024 2.xlsb</t>
  </si>
  <si>
    <t>emds attendence traker</t>
  </si>
  <si>
    <t>production tracker</t>
  </si>
  <si>
    <t>Avalanche Hourly production tracker.xlsx</t>
  </si>
  <si>
    <t>Copy of TaskMan Format Sheet.xlsx</t>
  </si>
  <si>
    <t>billeaserx</t>
  </si>
  <si>
    <t>https://www.billeaserx.in/</t>
  </si>
  <si>
    <t>all client logins</t>
  </si>
  <si>
    <t>All Clients Logins 1.xlsx</t>
  </si>
  <si>
    <t>confluence</t>
  </si>
  <si>
    <t>Oklahoma Pain Center [SAP=13146701] - CGM US ARIA HEALTH SERVICES - CGM Confluence</t>
  </si>
  <si>
    <t>eMDs RCM - Website Tracker (3).xlsx</t>
  </si>
  <si>
    <t>Login Credentials eMDs RCM Transtion.xlsx</t>
  </si>
  <si>
    <t>non ekos</t>
  </si>
  <si>
    <t>Non-Ekos Production File Template.xlsx</t>
  </si>
  <si>
    <t>In the name of ajay sir</t>
  </si>
  <si>
    <t>https://provider.cdphp.com/</t>
  </si>
  <si>
    <t xml:space="preserve">CHPHP - </t>
  </si>
  <si>
    <t>happen</t>
  </si>
  <si>
    <t>Happe Clients | Happe-MDs</t>
  </si>
  <si>
    <t>Web Rep Console</t>
  </si>
  <si>
    <t xml:space="preserve">komal wellmed </t>
  </si>
  <si>
    <t>PCH Global</t>
  </si>
  <si>
    <t>abhi.yadav@cgm.com</t>
  </si>
  <si>
    <t>champVA</t>
  </si>
  <si>
    <t>PA7zQ-aZe_8kEXR</t>
  </si>
  <si>
    <t>recovery code</t>
  </si>
  <si>
    <t>IDME-VM5C-LOHK-8ZKM</t>
  </si>
  <si>
    <t>allied benefit free status</t>
  </si>
  <si>
    <t>Healthcare Provider FastTrack - Eligibility &amp; Claim Status Request</t>
  </si>
  <si>
    <t>bankers life personal</t>
  </si>
  <si>
    <t>ayush echo</t>
  </si>
  <si>
    <t>AmirEcho1253</t>
  </si>
  <si>
    <t>ayush boon chapman</t>
  </si>
  <si>
    <t>fav car</t>
  </si>
  <si>
    <t>Victoria</t>
  </si>
  <si>
    <t>Boon Chapman - Employer</t>
  </si>
  <si>
    <t>JADM2022</t>
  </si>
  <si>
    <t>JADM@2022</t>
  </si>
  <si>
    <t>ayush united american insurance company</t>
  </si>
  <si>
    <t>Search Payments and Claims</t>
  </si>
  <si>
    <t>Irfan2023</t>
  </si>
  <si>
    <t>Emds@2023</t>
  </si>
  <si>
    <t>Client</t>
  </si>
  <si>
    <t>Invoice</t>
  </si>
  <si>
    <t>DOS</t>
  </si>
  <si>
    <t>Billed Amt</t>
  </si>
  <si>
    <t>Insurance</t>
  </si>
  <si>
    <t>Mode of payment</t>
  </si>
  <si>
    <t>Check/EFT#</t>
  </si>
  <si>
    <t>Check/EFT Amount</t>
  </si>
  <si>
    <t>Check/EFT Date</t>
  </si>
  <si>
    <t>Check Cashed Date</t>
  </si>
  <si>
    <t>Paid Amount</t>
  </si>
  <si>
    <t>CPT 1</t>
  </si>
  <si>
    <t>SPC</t>
  </si>
  <si>
    <t>Humana</t>
  </si>
  <si>
    <t>Check</t>
  </si>
  <si>
    <t>check# 0000035983</t>
  </si>
  <si>
    <t>CPT -99490
Allowed Amount- $12.91
Paid Amount - $12.91
Patient Responsibility - $0.00</t>
  </si>
  <si>
    <t>humana</t>
  </si>
  <si>
    <t>aetna</t>
  </si>
  <si>
    <t>EFT</t>
  </si>
  <si>
    <t>n/a</t>
  </si>
  <si>
    <t>CPT -99490
Allowed Amount- $12.91
Paid Amount - $9.87
Patient Responsibility - $0.00
CO - 253 - $3.04</t>
  </si>
  <si>
    <t>"CPT -99490
Allowed Amount- $12.91
Paid Amount - $9.87
Patient Responsibility - $0.00
CO - 253 - $3.04"</t>
  </si>
  <si>
    <t>CPT -99214
Allowed Amount- $25.87
Paid Amount - $4.46
Patient Responsibility - $20.00 AS COPAY
CO - 253 - $1.41</t>
  </si>
  <si>
    <t>CPT -99490
Allowed Amount- $12.91
Paid Amount - $9.81
Patient Responsibility - $0.00
CO - 253 - $3.1</t>
  </si>
  <si>
    <t>"CPT -99490
Allowed Amount- $12.91
Paid Amount - $12.91
Patient Responsibility - $0.00</t>
  </si>
  <si>
    <t>cigna</t>
  </si>
  <si>
    <t>CPT -99214
Allowed Amount- $26.51
Paid Amount - $26.51
Patient Responsibility - $0.00</t>
  </si>
  <si>
    <t>CPT -99214
Allowed Amount- $25.87
Paid Amount - $25.87
Patient Responsibility - $0.00"</t>
  </si>
  <si>
    <t>CPT -99214
Allowed Amount- $18.32
Paid Amount - $18.32
Patient Responsibility - $0.00</t>
  </si>
  <si>
    <t>Aetna</t>
  </si>
  <si>
    <t>mutual of Omaha</t>
  </si>
  <si>
    <t>CPT -99490
Allowed Amount- $12.70
Paid Amount - $12.70
Patient Responsibility - $0.00</t>
  </si>
  <si>
    <t>payer</t>
  </si>
  <si>
    <t>DSFP</t>
  </si>
  <si>
    <t>AARP</t>
  </si>
  <si>
    <t xml:space="preserve">
$720.74</t>
  </si>
  <si>
    <t>CPT - 96372
Allowed Amount- $2.58
Paid Amount - $2.58
Patient Responsibility - $0.00</t>
  </si>
  <si>
    <t xml:space="preserve">
$721.32</t>
  </si>
  <si>
    <t>CPT - 99497
Allowed Amount- $15.09
Paid Amount - $15.09
Patient Responsibility - $0.00</t>
  </si>
  <si>
    <t>CPT - 99214
Allowed Amount- $23.55
Paid Amount - $23.55
Patient Responsibility - $0.00</t>
  </si>
  <si>
    <t>CFP</t>
  </si>
  <si>
    <t>CPT - 99213
Allowed Amount- $16.93
Paid Amount - $16.93
Patient Responsibility - $0.00</t>
  </si>
  <si>
    <t>CPT -99305
Allowed Amount- $24.71
Paid Amount - $18.54
Patient Responsibility - $6.17</t>
  </si>
  <si>
    <t>CPT -99213
Allowed Amount- $16.93
Paid Amount - $16.93
Patient Responsibility - $0.00</t>
  </si>
  <si>
    <t>CPT -99203
Allowed Amount- $20.68
Paid Amount - $10.34
Patient Responsibility - $10.34</t>
  </si>
  <si>
    <t>CHAMPVA</t>
  </si>
  <si>
    <t>CPT -99213
Allowed Amount- $17.30
Paid Amount - $17.30
Patient Responsibility - $0.00</t>
  </si>
  <si>
    <t>CPT - 99214
Allowed Amount- $26.51
Paid Amount - $26.51
Patient Responsibility - $0.00</t>
  </si>
  <si>
    <t>CPT - 99214
Allowed Amount- $25.87
Paid Amount - $25.87
Patient Responsibility - $0.00</t>
  </si>
  <si>
    <t>CPT - 99490
Allowed Amount- $12.91
Paid Amount - $12.91
Patient Responsibility - $0.00</t>
  </si>
  <si>
    <t>CPT - 99212
Allowed Amount- $11.49
Paid Amount - $11.49
Patient Responsibility - $0.00</t>
  </si>
  <si>
    <t>CPT 2</t>
  </si>
  <si>
    <t>CPT 3</t>
  </si>
  <si>
    <t>CPT 4</t>
  </si>
  <si>
    <t>DAB</t>
  </si>
  <si>
    <t>Wellcare</t>
  </si>
  <si>
    <t>check</t>
  </si>
  <si>
    <t xml:space="preserve">CPT - 99397
Allowed Amount- $142.81
Paid Amount - $141.39
Patient Responsibility - $0.00
sequestration - $1.42
</t>
  </si>
  <si>
    <t>CPT - GO444
Allowed Amount- $19.19
Paid Amount - $18.81
Patient Responsibility - $0.00
sequestration - $0.38</t>
  </si>
  <si>
    <t>CPT - 99213
Allowed Amount- $95.07
Paid Amount - $94.13
Patient Responsibility - $0.00
sequestration - $0.94</t>
  </si>
  <si>
    <t>CPT - G0442
Allowed Amount- $19.34
Paid Amount - $19.15
Patient Responsibility - $0.00
sequestration - $0.19</t>
  </si>
  <si>
    <t>CPT - 96372
Allowed Amount- $158.65
Paid Amount - $2.65
Patient Responsibility - $156.00</t>
  </si>
  <si>
    <t xml:space="preserve">CPT - 96372
Allowed Amount- $112.65
Paid Amount - $2.65
Patient Responsibility - $110.00
</t>
  </si>
  <si>
    <t xml:space="preserve"> 05/27/25</t>
  </si>
  <si>
    <t xml:space="preserve">working on payment project - As per PMS review, Claim filed to AARP UHC. Checked UHC provider portal, claim#568606090971 paid $25.87 on 07/10/2025 under EFT#1199223791. CPT -99214, Allowed Amount- $25.87, Paid Amount - $25.87, Patient Responsibility - $0.00. Hence, sent payment grid to payment posting team to post the payment. </t>
  </si>
  <si>
    <t xml:space="preserve"> 08/23/24</t>
  </si>
  <si>
    <t>CPT - 99490
Allowed Amount- $ 11.95
Paid Amount - $ 11.95
Patient Responsibility - $0.00</t>
  </si>
  <si>
    <t xml:space="preserve">working on payment project - As per PMS review, Claim filed to AARP UHC. Checked UHC provider portal, claim#567806090271 paid $ 11.95 on 07/10/2025 under EFT#1199223791. CPT -99490, Allowed Amount- $ 11.95, Paid Amount - $ 11.95, Patient Responsibility - $0.00. Hence, sent payment grid to payment posting team to post the payment. </t>
  </si>
  <si>
    <t xml:space="preserve"> 06/10/25</t>
  </si>
  <si>
    <t xml:space="preserve">CPT - 99215
Allowed Amount- $ 36.24
Paid Amount - $ 36.24
Patient Responsibility - $0.00
</t>
  </si>
  <si>
    <t xml:space="preserve">working on payment project - As per PMS review, Claim filed to AARP UHC. Checked UHC provider portal, claim#568606090501 paid $ 36.24 on 07/10/2025 under EFT#1199223791. CPT -99215, Allowed Amount- $ 36.24, Paid Amount - $ 36.24, Patient Responsibility - $0.00. Hence, sent payment grid to payment posting team to post the payment. </t>
  </si>
  <si>
    <t xml:space="preserve"> 06/17/25</t>
  </si>
  <si>
    <t>CPT - 99214
Allowed Amount- $ 25.87
Paid Amount - $ 25.87
Patient Responsibility - $0.00</t>
  </si>
  <si>
    <t xml:space="preserve">working on payment project - As per PMS review, Claim filed to AARP UHC. Checked UHC provider portal, claim#568606090301 paid $ 25.87 on 07/10/2025 under EFT#1199223791. CPT -99214, Allowed Amount- $ 25.87, Paid Amount - $ 25.87, Patient Responsibility - $0.00. Hence, sent payment grid to payment posting team to post the payment. </t>
  </si>
  <si>
    <t xml:space="preserve"> 06/09/25</t>
  </si>
  <si>
    <t>CPT - 99214
Allowed Amount- $ 25.87
Paid Amount - $ 25.87
Patient Responsibility - $0.01</t>
  </si>
  <si>
    <t xml:space="preserve">working on payment project - As per PMS review, Claim filed to AARP UHC. Checked UHC provider portal, claim#568606090311 paid $ 25.87 on 07/10/2025 under EFT#1199223791. CPT -99214, Allowed Amount- $ 25.87, Paid Amount - $ 25.87, Patient Responsibility - $0.00. Hence, sent payment grid to payment posting team to post the payment. </t>
  </si>
  <si>
    <t>OPC</t>
  </si>
  <si>
    <t>MEDICAID</t>
  </si>
  <si>
    <t>CPT - 99213
Allowed Amount- $7.88
Paid Amount - $6.88
Patient Responsibility - $1 OF COPAY</t>
  </si>
  <si>
    <t>CPT - 96372
Allowed Amount- $1.23
Paid Amount - $1.23
Patient Responsibility - $0.00</t>
  </si>
  <si>
    <t>CPT - J1100
Allowed Amount- $0.10
Paid Amount - $0.10
Patient Responsibility - $0.00</t>
  </si>
  <si>
    <t>CPT - 99213
Allowed Amount- $6.70
Paid Amount - $5.70
Patient Responsibility - $1 OF COPAY</t>
  </si>
  <si>
    <t>BFMC</t>
  </si>
  <si>
    <t>freedom life ins</t>
  </si>
  <si>
    <t>INSURANCE</t>
  </si>
  <si>
    <t>CONTACT NUMBER</t>
  </si>
  <si>
    <t>CODE TO REACH REP</t>
  </si>
  <si>
    <t xml:space="preserve">fax# </t>
  </si>
  <si>
    <t>888-435-4383</t>
  </si>
  <si>
    <t>Horizon</t>
  </si>
  <si>
    <t>888-885-7337</t>
  </si>
  <si>
    <t>LONGEVITY</t>
  </si>
  <si>
    <t>90 DEGREE BENEFITS</t>
  </si>
  <si>
    <t>844-632-7878</t>
  </si>
  <si>
    <t>800-506-7651</t>
  </si>
  <si>
    <t xml:space="preserve">18002277789 - this only for a supplemental plan provider - directly connect to rep if we dial this number. </t>
  </si>
  <si>
    <t xml:space="preserve">if aetna id start with 1 </t>
  </si>
  <si>
    <t>Aetna-W</t>
  </si>
  <si>
    <t>888-632-3862 / 8008723862</t>
  </si>
  <si>
    <t>&lt;-aetna as secondary</t>
  </si>
  <si>
    <t>allied benefit portal</t>
  </si>
  <si>
    <t>alliance</t>
  </si>
  <si>
    <t>option 5 for providers line</t>
  </si>
  <si>
    <t>Allstate ( Direct number  )</t>
  </si>
  <si>
    <t>AMERIGROUP</t>
  </si>
  <si>
    <t>800-600-4441</t>
  </si>
  <si>
    <t xml:space="preserve">8773915921 - superior health plan Medicaid </t>
  </si>
  <si>
    <t>AMERIHEALTH</t>
  </si>
  <si>
    <t>888-968-7241</t>
  </si>
  <si>
    <t>8447966811 -superior health plan Medicare</t>
  </si>
  <si>
    <t>BCBC Fedral</t>
  </si>
  <si>
    <t>800-522-5566</t>
  </si>
  <si>
    <t>BCBS Fedral Monroe</t>
  </si>
  <si>
    <t>800-840-4505</t>
  </si>
  <si>
    <t>BCBS TX</t>
  </si>
  <si>
    <t>1-877-784-6802</t>
  </si>
  <si>
    <t>877-774-8592</t>
  </si>
  <si>
    <t>Blue Cross NC/BC MCR Experience Health HMO</t>
  </si>
  <si>
    <t>800-672-6584</t>
  </si>
  <si>
    <t>Blue Cross NC/Blue Cross NC</t>
  </si>
  <si>
    <t>komal ka number bcbs nc ka</t>
  </si>
  <si>
    <t>800)214-4844</t>
  </si>
  <si>
    <t>komal bcbs la</t>
  </si>
  <si>
    <t>BRAVEN</t>
  </si>
  <si>
    <t>CenterLight Healthcare</t>
  </si>
  <si>
    <t>833-252-2737</t>
  </si>
  <si>
    <t>CENTERS PLAN FOR HEALTHY LIVING</t>
  </si>
  <si>
    <t>844-292-4211</t>
  </si>
  <si>
    <t>Cigna</t>
  </si>
  <si>
    <t>800-244-6224</t>
  </si>
  <si>
    <t>Echo</t>
  </si>
  <si>
    <t>800-317-9280</t>
  </si>
  <si>
    <t>Federal Employee Program Horizon BCBS</t>
  </si>
  <si>
    <t>Fidelis Care</t>
  </si>
  <si>
    <t>888-343-3547</t>
  </si>
  <si>
    <t>first health network direct number</t>
  </si>
  <si>
    <t>GHI</t>
  </si>
  <si>
    <t xml:space="preserve">877-838-7830 </t>
  </si>
  <si>
    <t>&lt;-USAA contact number for secondary</t>
  </si>
  <si>
    <t>Healthfirs</t>
  </si>
  <si>
    <t>HELMSMAN MANAGEMENT-WC/HELMSMAN MANAGEMENT</t>
  </si>
  <si>
    <t>800-500-7044</t>
  </si>
  <si>
    <t>appeal mailing address for humana- PO box 14601 lexington kentucky 40512-4601, TFL - 18 months form dod.</t>
  </si>
  <si>
    <t>HIP</t>
  </si>
  <si>
    <t>&lt;-ebms</t>
  </si>
  <si>
    <t>800-999-3309</t>
  </si>
  <si>
    <t>Horizon BCBS</t>
  </si>
  <si>
    <t>800-355-2583</t>
  </si>
  <si>
    <t>weshare</t>
  </si>
  <si>
    <t>8554961571 www.zelis.com\provider/providertysonenrollement</t>
  </si>
  <si>
    <t>Horizon fedral</t>
  </si>
  <si>
    <t>800 624 5078</t>
  </si>
  <si>
    <t>Horizon NJ</t>
  </si>
  <si>
    <t>800-682-9091</t>
  </si>
  <si>
    <t>Provider Partners Health Plan - PO BOX 21063 Eagan minnasota 55121, 31405</t>
  </si>
  <si>
    <t>800-438-7885</t>
  </si>
  <si>
    <t>Humana nc</t>
  </si>
  <si>
    <t>800-448-6262</t>
  </si>
  <si>
    <t>(800)457-4708</t>
  </si>
  <si>
    <t>&lt;-this is direct number of humana choice ppo</t>
  </si>
  <si>
    <t>ispe koi info mt dena otherwise ye wellmed ko route kr dega</t>
  </si>
  <si>
    <t>no member id</t>
  </si>
  <si>
    <t>just npi</t>
  </si>
  <si>
    <t>Longevity payment number-</t>
  </si>
  <si>
    <t>888-920-0623</t>
  </si>
  <si>
    <t>LONGEVITY  HEALTH PLAN/LONGEVITY HEALTH PLAN</t>
  </si>
  <si>
    <t>Medicare NY</t>
  </si>
  <si>
    <t>866 837 0241</t>
  </si>
  <si>
    <t>medicare tx</t>
  </si>
  <si>
    <t>855-252-8782</t>
  </si>
  <si>
    <t>medicare tx auth dept - 8553405975</t>
  </si>
  <si>
    <t>Gerber Life Insurance Company</t>
  </si>
  <si>
    <t>is ===</t>
  </si>
  <si>
    <t>mutual of omaha</t>
  </si>
  <si>
    <t>Medlogix</t>
  </si>
  <si>
    <t>Meridian Health</t>
  </si>
  <si>
    <t>New York State Insurance Fund</t>
  </si>
  <si>
    <t>888.875.5790</t>
  </si>
  <si>
    <t>NHIC</t>
  </si>
  <si>
    <t>superior denied due to taxonomy, uhc has dual plan wellmed and uhc hence call on this number</t>
  </si>
  <si>
    <t>Noridian</t>
  </si>
  <si>
    <t>855-609-9960</t>
  </si>
  <si>
    <t>One call</t>
  </si>
  <si>
    <t>866-389-0211</t>
  </si>
  <si>
    <t>oxford life insurance</t>
  </si>
  <si>
    <t>Optum</t>
  </si>
  <si>
    <t>Paramount</t>
  </si>
  <si>
    <t>800-891-2520</t>
  </si>
  <si>
    <t>Progressive Auto Insurance</t>
  </si>
  <si>
    <t>Taxex Medicaid Claims</t>
  </si>
  <si>
    <t>800-925-9126</t>
  </si>
  <si>
    <t>Taxex Medicaid Provider Enrollment</t>
  </si>
  <si>
    <t>1800 925-9126</t>
  </si>
  <si>
    <t>transamerica</t>
  </si>
  <si>
    <t>How can we sent fax letter to request eobs in bulk to transAmerica?
5709694030 - 
they just need check numbers and tax id in cover sheet.</t>
  </si>
  <si>
    <t>Triad-WC/Triad</t>
  </si>
  <si>
    <t>800-337-7419</t>
  </si>
  <si>
    <t>Tricare west region</t>
  </si>
  <si>
    <t>877-842-3210</t>
  </si>
  <si>
    <t>&lt;- community plan</t>
  </si>
  <si>
    <t xml:space="preserve">uhc dual plan medicaid 8669444983, </t>
  </si>
  <si>
    <t>UMR</t>
  </si>
  <si>
    <t>UMR/UHC</t>
  </si>
  <si>
    <t>888 704 0096</t>
  </si>
  <si>
    <t>united american insurance</t>
  </si>
  <si>
    <t>VACCN</t>
  </si>
  <si>
    <t>888-901-7407</t>
  </si>
  <si>
    <t>Village care</t>
  </si>
  <si>
    <t>VNS Choice</t>
  </si>
  <si>
    <t>866-783-0222</t>
  </si>
  <si>
    <t>We share</t>
  </si>
  <si>
    <t>we share pe 2min me call</t>
  </si>
  <si>
    <t>(833)444-9088</t>
  </si>
  <si>
    <t>800-550-7691</t>
  </si>
  <si>
    <t>wps commercial direct number</t>
  </si>
  <si>
    <t>800-765-4977</t>
  </si>
  <si>
    <t>Zelish</t>
  </si>
  <si>
    <t>877-828-8770</t>
  </si>
  <si>
    <t xml:space="preserve">zelis </t>
  </si>
  <si>
    <t>bankers life</t>
  </si>
  <si>
    <t>global health</t>
  </si>
  <si>
    <t>8442805555 - for advantage plans</t>
  </si>
  <si>
    <t>this is fast number</t>
  </si>
  <si>
    <t>aetna appeal form</t>
  </si>
  <si>
    <t>Practitioner and Provider Compliant and Appeal Request</t>
  </si>
  <si>
    <t>fax#</t>
  </si>
  <si>
    <t>medicare appeal form</t>
  </si>
  <si>
    <t>bcbs appeal form</t>
  </si>
  <si>
    <t>Blue Cross and Blue Shield of Illinois Medicaid Provider Dispute Request Form</t>
  </si>
  <si>
    <t>Date</t>
  </si>
  <si>
    <t>Achieved</t>
  </si>
  <si>
    <t>target</t>
  </si>
  <si>
    <t>Deficiet</t>
  </si>
  <si>
    <t>OJT target</t>
  </si>
  <si>
    <t>1st week</t>
  </si>
  <si>
    <t>2nd week</t>
  </si>
  <si>
    <t>3rd week</t>
  </si>
  <si>
    <t>4th week</t>
  </si>
  <si>
    <t>assigned</t>
  </si>
  <si>
    <t>leftover</t>
  </si>
  <si>
    <t>monday</t>
  </si>
  <si>
    <t>tuesday</t>
  </si>
  <si>
    <t>wednesday</t>
  </si>
  <si>
    <t xml:space="preserve">per day </t>
  </si>
  <si>
    <t>user</t>
  </si>
  <si>
    <t>client</t>
  </si>
  <si>
    <t>payment</t>
  </si>
  <si>
    <t>opc</t>
  </si>
  <si>
    <t>waco</t>
  </si>
  <si>
    <t>my ojt got over here</t>
  </si>
  <si>
    <t>this was cooling day</t>
  </si>
  <si>
    <t>leave</t>
  </si>
  <si>
    <t>I took a sick leave here</t>
  </si>
  <si>
    <t xml:space="preserve">leave </t>
  </si>
  <si>
    <t>Aleave</t>
  </si>
  <si>
    <t>taskman</t>
  </si>
  <si>
    <t>Taskman - Chart - chartview - message - task , mr
Mr - doc man
Notes - ekos, invoice notes</t>
  </si>
  <si>
    <t>How to rebill the claim</t>
  </si>
  <si>
    <t>99395 denial preventive care denial - rebill with corrective cpt</t>
  </si>
  <si>
    <t>Ub04 cms 1500 denial - changed fgp and refiled</t>
  </si>
  <si>
    <t xml:space="preserve">Rhc billing ke sath T code jata h, </t>
  </si>
  <si>
    <t>MAM</t>
  </si>
  <si>
    <t>APPL</t>
  </si>
  <si>
    <t>Per review found REDETERMINATION Letter has been sent to Medicare no response received so called @8772358073  spoke with Capria she was unable to find the form so sent again CLAIM#0224250104560 CALLREF#012211622584892-1</t>
  </si>
  <si>
    <t>HPAM</t>
  </si>
  <si>
    <t>Corrected claim</t>
  </si>
  <si>
    <t>Working on project- Claim is in rejection due to office mistakely chose frequency code 6 in place of 7 Hence corrected and filed CLAIM#Y063ILE16650</t>
  </si>
  <si>
    <t>Working on project- Claim is in rejection due to office mistakely chose frequency code 6 in place of 7 Hence corrected and filed CLAIM#Y063ILE18172</t>
  </si>
  <si>
    <t>Working on project- Claim is in rejection due to office mistakely chose frequency code 6 in place of 7 Hence corrected and filed CLAIM#25056E0034135</t>
  </si>
  <si>
    <t>Working on project- Claim is in rejection due to office mistakely chose frequency code 6 in place of 7 Hence corrected and filed CLAIM#25063E0259592</t>
  </si>
  <si>
    <t>Working on project- Claim is in rejection due to office mistakely chose frequency code 6 in place of 7 Hence corrected and filed CLAIM#EW97318812</t>
  </si>
  <si>
    <t>Working on project- Claim is in rejection due to office mistakely chose frequency code 6 in place of 7 Hence corrected and filed CLAIM#Y062ILE68667</t>
  </si>
  <si>
    <t>Working on project- Claim is in rejection due to office mistakely chose frequency code 6 in place of 7 Hence corrected and filed CLAIM#Y057ILE06191</t>
  </si>
  <si>
    <t>Working on project- Claim is in rejection due to office mistakely chose frequency code 6 in place of 7 Hence corrected and filed CLAIM#Y063ILE20983</t>
  </si>
  <si>
    <t>INPRO</t>
  </si>
  <si>
    <t>Per review found claim billed to First Health choice no EOB received checked portal found claim is in process and per REP claims will take 45-60 days to process CLAIM#47941339-01</t>
  </si>
  <si>
    <t>Per review found claim billed to First Health choice no EOB received checked portal found claim is in process and per REP claims will take 45-60 days to process CLAIM#47878167-01</t>
  </si>
  <si>
    <t>Per review found claim billed to First Health choice no EOB received checked portal found claim is in process and per REP claims will take 45-60 days to process CLAIM#47941337-01</t>
  </si>
  <si>
    <t>Thank you &amp; Regards,
Muntazir Ahmad Mir 
Associate Claims Managment
EMDS RCM</t>
  </si>
  <si>
    <t>Per review found claim billed to first Health choice no EOB received so called @800-467-5291 spoke with Taisy claim received on 04/25/2025 still in process CLAIM#47878165-01 need to allow 15-20 days more</t>
  </si>
  <si>
    <t>Per review found claim billed to First Health choice no EOB received checked portal found claim is in process and per REP claims will take 45-60 days to process CLAIM#47980259-01</t>
  </si>
  <si>
    <t>HOLD</t>
  </si>
  <si>
    <t>CPT XMRFW we cant bill to the patient matter escalated to office Hence  HOLD</t>
  </si>
  <si>
    <t>CFAM</t>
  </si>
  <si>
    <t>Rebill correct insurance</t>
  </si>
  <si>
    <t>Per review found claim forwarded by medicare to Blue cross Blue shield of KANSAS and denied Patient ineligible for this service. CLAIM#242511100323G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</si>
  <si>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CLAIM#242511100324G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</si>
  <si>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CLAIM#242513900313G Because ID Showing 893907506 checked eligibility found patient is active with XSM848410507 from Plan: 01/01/2025-12/31/2025 Hence Filed again</t>
  </si>
  <si>
    <t>Per review found claim forwarded by medicare to Blue cross Blue shield of KANSAS and denied Patient ineligible for this service. CLAIM#242515000216G Because ID Showing 893907506 checked eligibility found patient is active with XSM848410507 from Plan: 01/01/2025-12/31/2025 Hence Filed again</t>
  </si>
  <si>
    <t>Rebill correct ID</t>
  </si>
  <si>
    <t>Per review found claim billed to MEDICARE and denied as Missing/incomplete/invalid patient identifier. CLAIM#2825097502850 checked eligibility and other account found correct member id is 9AP7QF8AR33 Hence added and FILED</t>
  </si>
  <si>
    <t>Per review found claim billed to MEDICARE and denied as Missing/incomplete/invalid patient identifier. CLAIM#2825100312430 checked eligibility and other account found correct member id is 9AP7QF8AR33 Hence added and FILED</t>
  </si>
  <si>
    <t>TASKMAN SENT</t>
  </si>
  <si>
    <t>Per review found CPT G0101 denied as medical neccesity CLAIM#2825091337350 checked SOP no infromation found Taskman sent to office TM # 23733</t>
  </si>
  <si>
    <t>Per review found CPT G2211 denied Service not payable with other service rendered on the same date by MEDICARE as per medicare guidelines need to remove modfier 25 from E/M code Hence removed and FILED CLAIM#2825106153082</t>
  </si>
  <si>
    <t>rebill secondary</t>
  </si>
  <si>
    <t>Per review found Medicare paid $419.91 with $76.53 as coins CLAIM#2824327154030 AND CLAIM#2825100312310 checked and found patient has CIGNA as secondary checked elgibility found active and not billed to cigna yet Hence FILED</t>
  </si>
  <si>
    <t>BILL PATIENT</t>
  </si>
  <si>
    <t>Per review ins paid $116.51 with PR $117.48 as ded CLAIM#2825024117110 balance is PR NO OTHER INS FOUND Hence Billed to patient</t>
  </si>
  <si>
    <t>Per rvw Medicare processed as primary and crossover to sec AARP Supp for Ded, per sec ins eob where sec  processed on  where ins dnd the clm for The impact of prior payer(s) adjudication including payments and/or adjustments. (Use only with Group Code OA). claim#558606679991  Hence billed to PT for rem amt and taken as PT DUE</t>
  </si>
  <si>
    <t>Per review found CPT 83036 denied as medical neccesity CLAIM#2825092463930 checked SOP no infromation found Taskman sent to office TM # 23735</t>
  </si>
  <si>
    <t>Per review found cpt G0008 and 90662 Denied as These are non-covered services because this is not deemed a 'medical necessity' by the payer. Checked patient chart found correct NDC 49281-0124-88 and we have billed 49281-0123-88 Hence corrected and FILED CLAIM#2825049393730</t>
  </si>
  <si>
    <t>Per review found cpt G0008 and 90662 Denied as These are non-covered services because this is not deemed a 'medical necessity' by the payer. Checked patient chart found correct NDC 49281-0124-88 and we have billed 49281-0123-88 Hence corrected and FILED CLAIM#2825100312630</t>
  </si>
  <si>
    <t>REBILL CLAIM</t>
  </si>
  <si>
    <t>Per TASKMAN #23121 98012 ADDED BY ADDENDUM. PLEASE FILE TO INSURANCE Hence added 98012 and FILED</t>
  </si>
  <si>
    <t xml:space="preserve">CPT was wrong, so corrected the eob and filed the corrected claim. </t>
  </si>
  <si>
    <t>DOS 06/14/2024, As per review clam was filed to Humana and got processed and paid later checked medical records of the patient found the CPT 99306 billed is incorrect, checked claim on availity and corrected CPT 99306 to 99305 and corrected claim submitted under transaction id#909891757. Hence need to allow time for further update on the claim. AM</t>
  </si>
  <si>
    <t>compliance quiz</t>
  </si>
  <si>
    <t>every month</t>
  </si>
  <si>
    <t xml:space="preserve">inpro time </t>
  </si>
  <si>
    <t>PKT</t>
  </si>
  <si>
    <t>umr</t>
  </si>
  <si>
    <t>30-45 days</t>
  </si>
  <si>
    <t>we will use rdp only for aprima.</t>
  </si>
  <si>
    <t>if coding validity is no then we can directly send account for office review coding - in case of dx denial.</t>
  </si>
  <si>
    <t>How to download cpt level report - _x000D_
report - crystal report_x000D_
code - all_x000D_
report name - RCM [ edit - add user, only if it is not allowing you to download the report]_x000D_
Now enter parameter values - _x000D_
for invoice level report just, enter minimum invoice ke niche, ENTER A VALUE : - 0.01_x000D_
for cpt level report enter value range - -99999 to 9999</t>
  </si>
  <si>
    <t>How to download cpt level report -</t>
  </si>
  <si>
    <t xml:space="preserve">EOM
Invoice IP both (from Old AR) balance 0.01
CPT Level 1/01/ FY year current year balance -999999 to 99999 All balance (IP)
 </t>
  </si>
  <si>
    <t>click on print on MR - clear checks, select visit note, select print E&amp;M code, click on print, save the file on desktop. and attach the MR on AETNA PORTAL/AVAILITY.</t>
  </si>
  <si>
    <t>How to download MR?</t>
  </si>
  <si>
    <t>how to find clia# in pms - file - option - operations options</t>
  </si>
  <si>
    <t>Hello Team while you create the taskman for any client mention your taskman # in below format in your notes.</t>
  </si>
  <si>
    <t>opc me kabhi bhi MR ke liye taskman nhi banana</t>
  </si>
  <si>
    <t xml:space="preserve">how to create exception - </t>
  </si>
  <si>
    <t>AARP Me check date ke 5 din baad ki hoti h encashment date.</t>
  </si>
  <si>
    <t>info to fill</t>
  </si>
  <si>
    <t>Example-     TM# 1234</t>
  </si>
  <si>
    <t>category - other</t>
  </si>
  <si>
    <t>how to download potf - click on page in workspace and then check additional doc and then download the file.</t>
  </si>
  <si>
    <t>how to download potf</t>
  </si>
  <si>
    <t>main &amp; sub category - secondary claim</t>
  </si>
  <si>
    <t xml:space="preserve">medicaid of north carolina </t>
  </si>
  <si>
    <t>assigned to - print, user</t>
  </si>
  <si>
    <t>carolina complete care</t>
  </si>
  <si>
    <t xml:space="preserve">account </t>
  </si>
  <si>
    <t>memId, dob, dos</t>
  </si>
  <si>
    <t>today I called on tricare east and she said that I need to see the claim's details on portal, cause they don't provide the details on the call. so I logged in on the portal and unable to check the claim status. took help from senior and senior said that.</t>
  </si>
  <si>
    <t>(800)444-5445</t>
  </si>
  <si>
    <r>
      <t xml:space="preserve">sohan.singh@cgm.com </t>
    </r>
    <r>
      <rPr>
        <sz val="11"/>
        <color theme="1"/>
        <rFont val="Aptos Narrow"/>
        <family val="2"/>
        <scheme val="minor"/>
      </rPr>
      <t xml:space="preserve">and </t>
    </r>
    <r>
      <rPr>
        <b/>
        <sz val="11"/>
        <color theme="1"/>
        <rFont val="Aptos Narrow"/>
        <family val="2"/>
        <scheme val="minor"/>
      </rPr>
      <t>suraj.negi@cgm.com</t>
    </r>
  </si>
  <si>
    <t>mail payment posting</t>
  </si>
  <si>
    <t>Abhilash or Urmila in your payment EOB Email, sent for payment posting.</t>
  </si>
  <si>
    <t>Tomar, Ajay &lt;ajay.tomar@cgm.com&gt;; "Rawat, Preeti" &lt;preeti.rawat@cgm.com&gt;; "Rawat, Dharmendra" &lt;dharmendra.rawat@cgm.com&gt;; "Tandon, Ritika" &lt;ritika.tandon@cgm.com&gt;; "Lnu, Urmila" &lt;urmila.lnu@cgm.com&gt;; "Singh, Sohan" &lt;sohan.singh@cgm.com&gt;; "Negi, Suraj" &lt;suraj.negi@cgm.com&gt;; "Sharma, Abhilash" &lt;abhilash.sharma@cgm.com&gt;</t>
  </si>
  <si>
    <t>Bulk details always required when work on paid claim for OPC</t>
  </si>
  <si>
    <t>ajay sir</t>
  </si>
  <si>
    <t>we only need to mention article number of lcd in the case of co50 and 11.</t>
  </si>
  <si>
    <t>AMA me elegble ke denial ko bill to patient b krte h </t>
  </si>
  <si>
    <t>MBI Lookup
pt name
member id 
dob</t>
  </si>
  <si>
    <t>article in lcd - mcd medicare</t>
  </si>
  <si>
    <t>opc medicaid me 2 days phle ki payment post nhi hui hoti h, you can work on it, isme epaid hi hota kyunki they pay through eft.</t>
  </si>
  <si>
    <t>medicaid, medicare ke atleast 15 days ke baad payment kr deta h.</t>
  </si>
  <si>
    <t xml:space="preserve">vishal reviewing - </t>
  </si>
  <si>
    <t>1. he just make the sheet easy to see</t>
  </si>
  <si>
    <t>2. then put filters specially on payers, first primary and then on secondary</t>
  </si>
  <si>
    <t>3. then he made the the chunks of same payer, like Humana medicare, boon chapman, United Healthcare WellMed, AARP, Oxford Life insurance, Tricare For Life</t>
  </si>
  <si>
    <t xml:space="preserve">4. and then he said that you could ask for eobs multiple invoices in only one claim, and you could receive the eobs before the end of the day, and then in only few calls you could get upto $3000 payment. </t>
  </si>
  <si>
    <t>5. then he said first do portals and calls.</t>
  </si>
  <si>
    <t>OA 23
Medicaid - Adjust krenge
managed care Medicaid - adjust krenge
if there is any commercial plan (if pt has bought any plan) - bill to pt</t>
  </si>
  <si>
    <t xml:space="preserve">I called champva on 0649 dec152025 </t>
  </si>
  <si>
    <t>wait time was only 10 min</t>
  </si>
  <si>
    <t>172110 - cfp - Medicaid se payment ke liye msp type should be 16</t>
  </si>
  <si>
    <t>paper claim</t>
  </si>
  <si>
    <t>filed</t>
  </si>
  <si>
    <t>Invoice Status Code</t>
  </si>
  <si>
    <t>Description</t>
  </si>
  <si>
    <t>electronic claim</t>
  </si>
  <si>
    <t>succed</t>
  </si>
  <si>
    <t>2INS</t>
  </si>
  <si>
    <t>Secondary insurance filed</t>
  </si>
  <si>
    <t>when MR are still in process</t>
  </si>
  <si>
    <t>RCM claim in process</t>
  </si>
  <si>
    <t>A_ERR</t>
  </si>
  <si>
    <t>ANSI Claim Filing Error</t>
  </si>
  <si>
    <t xml:space="preserve">Even though you talked to ins and rep said that the claim is in process and they fax us the eob </t>
  </si>
  <si>
    <t>Appeal filed to payer or reprocessed over the phone</t>
  </si>
  <si>
    <t>when we received the paid eobs</t>
  </si>
  <si>
    <t>RCM PAID EOBS</t>
  </si>
  <si>
    <t>BAD</t>
  </si>
  <si>
    <t>BAD DEBT</t>
  </si>
  <si>
    <t xml:space="preserve">and if there is any denial then we will work as per the denial. </t>
  </si>
  <si>
    <t>CCASH</t>
  </si>
  <si>
    <t>Check Cashed</t>
  </si>
  <si>
    <t xml:space="preserve">when we don't have the client's approval </t>
  </si>
  <si>
    <t xml:space="preserve">RCM approval </t>
  </si>
  <si>
    <t>CHCOR</t>
  </si>
  <si>
    <t>Charge Correction</t>
  </si>
  <si>
    <t>when we find the eligibility on emedix, but the rep told that she can't find the pt on call</t>
  </si>
  <si>
    <t>Office review - pt info</t>
  </si>
  <si>
    <t>COLL</t>
  </si>
  <si>
    <t>Collections</t>
  </si>
  <si>
    <t>when we do not have check encash date.</t>
  </si>
  <si>
    <t>ncash</t>
  </si>
  <si>
    <t>CPAID</t>
  </si>
  <si>
    <t>Paid via check within 30 days</t>
  </si>
  <si>
    <t>when check is cleared, and we have check enchash date as well</t>
  </si>
  <si>
    <t>ccash</t>
  </si>
  <si>
    <t>DNL</t>
  </si>
  <si>
    <t>Invoice has been denied partially or completely</t>
  </si>
  <si>
    <t xml:space="preserve">for eft payment </t>
  </si>
  <si>
    <t>Epaid</t>
  </si>
  <si>
    <t>DONE</t>
  </si>
  <si>
    <t>EPAID</t>
  </si>
  <si>
    <t>Paid via EFT within 30 days</t>
  </si>
  <si>
    <t>ESC-F</t>
  </si>
  <si>
    <t>Escalated to Support Team</t>
  </si>
  <si>
    <t>ES-ED</t>
  </si>
  <si>
    <t>EDI escalation</t>
  </si>
  <si>
    <t>EXCEP</t>
  </si>
  <si>
    <t>Filing paper claim through Exception</t>
  </si>
  <si>
    <t>FAXED</t>
  </si>
  <si>
    <t>Claim faxed to insurance with or without medical notes</t>
  </si>
  <si>
    <t>FILED</t>
  </si>
  <si>
    <t>Insurance has been filed</t>
  </si>
  <si>
    <t>Claim is on Hold</t>
  </si>
  <si>
    <t>INCRT</t>
  </si>
  <si>
    <t>Insurance credit</t>
  </si>
  <si>
    <t>Claim in process</t>
  </si>
  <si>
    <t>INS-OV</t>
  </si>
  <si>
    <t>Insurance Overpaid</t>
  </si>
  <si>
    <t>NCASH</t>
  </si>
  <si>
    <t>Check not cashed</t>
  </si>
  <si>
    <t>P_INS</t>
  </si>
  <si>
    <t>Pending Insurance</t>
  </si>
  <si>
    <t>PAT</t>
  </si>
  <si>
    <t>Patient Responsibility</t>
  </si>
  <si>
    <t>PAT-OV</t>
  </si>
  <si>
    <t>Patient Overpaid</t>
  </si>
  <si>
    <t>P-ESC</t>
  </si>
  <si>
    <t>Paid claim more than 30 days, EOB to be requested and escalated to Client</t>
  </si>
  <si>
    <t>PTCRT</t>
  </si>
  <si>
    <t>Patient credit</t>
  </si>
  <si>
    <t>PTDUE</t>
  </si>
  <si>
    <t>Patient owes balance</t>
  </si>
  <si>
    <t>QUAPP</t>
  </si>
  <si>
    <t>Appeal Invoice</t>
  </si>
  <si>
    <t>QUEUE</t>
  </si>
  <si>
    <t>DHT/EDI - Change filing method</t>
  </si>
  <si>
    <t>REPRO</t>
  </si>
  <si>
    <t>Claim sent for Reprocessing as denied incorrectly</t>
  </si>
  <si>
    <t>STMT</t>
  </si>
  <si>
    <t>Statement printed for guarantor</t>
  </si>
  <si>
    <t>TM-AU</t>
  </si>
  <si>
    <t>Escalated to client for Authorization</t>
  </si>
  <si>
    <t>TM-CL</t>
  </si>
  <si>
    <t>CLIA related issues</t>
  </si>
  <si>
    <t>TM-CR</t>
  </si>
  <si>
    <t>Provider not Credentialed</t>
  </si>
  <si>
    <t>TM-CT</t>
  </si>
  <si>
    <t>Escalated to client for CPT</t>
  </si>
  <si>
    <t>TM-DP</t>
  </si>
  <si>
    <t>Escalated to client for duplicate claim/CPT</t>
  </si>
  <si>
    <t>TM-DX</t>
  </si>
  <si>
    <t>Escalated to client for Diagnosis</t>
  </si>
  <si>
    <t>TM-ID</t>
  </si>
  <si>
    <t>Patient Demographics or Insurance detail missing</t>
  </si>
  <si>
    <t>TM-MF</t>
  </si>
  <si>
    <t>Escalated to client for Missing Fee</t>
  </si>
  <si>
    <t>TM-MR</t>
  </si>
  <si>
    <t>Escalated to client for Medical Records</t>
  </si>
  <si>
    <t>TM-MT</t>
  </si>
  <si>
    <t>Escalated to client for Modifier</t>
  </si>
  <si>
    <t>TM-NC</t>
  </si>
  <si>
    <t>Escalated to Client as Non Covered Service</t>
  </si>
  <si>
    <t>TM-ND</t>
  </si>
  <si>
    <t>Escalated to client for NDC#</t>
  </si>
  <si>
    <t>TM-NS</t>
  </si>
  <si>
    <t>DOS not coded but patient payment received</t>
  </si>
  <si>
    <t>TM-PF</t>
  </si>
  <si>
    <t>Missing/Invalid POS</t>
  </si>
  <si>
    <t>TM-RF</t>
  </si>
  <si>
    <t>Escalated to client for Referral</t>
  </si>
  <si>
    <t>TM-SP</t>
  </si>
  <si>
    <t>Provider not eligible for payment due to provider specialty/Taxonomy code</t>
  </si>
  <si>
    <t>TM-SU</t>
  </si>
  <si>
    <t>Chart not signed by provider office</t>
  </si>
  <si>
    <t>TM-VD</t>
  </si>
  <si>
    <t>Claim Voided list to adjuster or insurance company</t>
  </si>
  <si>
    <t>TM-VO</t>
  </si>
  <si>
    <t>REPLACED/DELETED CODE</t>
  </si>
  <si>
    <t>Maged Mina</t>
  </si>
  <si>
    <t>Payspan (Setup Key : DHSRJLQ6K2HYXOY4PCNBSFR4HGIJQ3MD)</t>
  </si>
  <si>
    <t>https://www.payspanhealth.com/NPS/</t>
  </si>
  <si>
    <t>FCT.emds.Minarcm@cgm.com</t>
  </si>
  <si>
    <t>MagedMina</t>
  </si>
  <si>
    <t>Summer@2024</t>
  </si>
  <si>
    <t>ECHO</t>
  </si>
  <si>
    <t>https://www.providerpayments.com/Inquiry.aspx</t>
  </si>
  <si>
    <t>mm18626</t>
  </si>
  <si>
    <t>Hardyoaks@2477825899001</t>
  </si>
  <si>
    <t>Zelis (Setup Key:DBFSX536QEOMBR6AJJF2JHX5EVE46UBB)</t>
  </si>
  <si>
    <t>https://provider.zelispayments.com/</t>
  </si>
  <si>
    <t>Janet@01</t>
  </si>
  <si>
    <t>Mina@987654321</t>
  </si>
  <si>
    <t>Availity (Setup Key : CVGVNDNHLDIQSDSIIIBLCMS5ZY)</t>
  </si>
  <si>
    <t>https://apps.availity.com/public/apps/home/#!/</t>
  </si>
  <si>
    <t>rhtkumar230</t>
  </si>
  <si>
    <t>Noida@20262026</t>
  </si>
  <si>
    <t>Waystar</t>
  </si>
  <si>
    <t>https://claims.zirmed.com/Dashboard/Overview/Index?appid=1</t>
  </si>
  <si>
    <t>S.Bose</t>
  </si>
  <si>
    <t>Hardyoaks@2478258901</t>
  </si>
  <si>
    <t>UHC (Setup Key : XEDYWF75H5PUPVUNWA4ZSXJJFZSUN4BE)</t>
  </si>
  <si>
    <t>uhcprovider.com</t>
  </si>
  <si>
    <t>Mina@emds2025</t>
  </si>
  <si>
    <t>Tricare (DOB - 01/01/1989)</t>
  </si>
  <si>
    <t>tricare4u.com</t>
  </si>
  <si>
    <t>Summer@2025</t>
  </si>
  <si>
    <t>USAA</t>
  </si>
  <si>
    <t>https://usaa.providerterminal.com</t>
  </si>
  <si>
    <t>Humana Military</t>
  </si>
  <si>
    <t>https://infocenter.humana-military.com/prov/service/claims/dashboard/ClaimsT17</t>
  </si>
  <si>
    <t>okNanny17</t>
  </si>
  <si>
    <t>RCM@emds2025</t>
  </si>
  <si>
    <t>Janet Burkett's email ID</t>
  </si>
  <si>
    <t>JLOB636</t>
  </si>
  <si>
    <t>Wintersnow#2025</t>
  </si>
  <si>
    <t>https://eprg.wellmed.net/</t>
  </si>
  <si>
    <t>jlburkett1</t>
  </si>
  <si>
    <t>Crazy#2025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</si>
</sst>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8">
    <font>
      <sz val="11"/>
      <color theme="1"/>
      <name val="Aptos Narrow"/>
      <family val="2"/>
      <scheme val="minor"/>
    </font>
    <font>
      <u/>
      <sz val="11"/>
      <color theme="10"/>
      <name val="Aptos Narrow"/>
      <family val="2"/>
      <scheme val="minor"/>
    </font>
    <font>
      <sz val="12"/>
      <color rgb="FF000000"/>
      <name val="Aptos"/>
      <charset val="1"/>
    </font>
    <font>
      <sz val="10"/>
      <color rgb="FF000000"/>
      <name val="Aptos"/>
      <charset val="1"/>
    </font>
    <font>
      <b/>
      <sz val="11"/>
      <color theme="1"/>
      <name val="Aptos Narrow"/>
      <family val="2"/>
      <scheme val="minor"/>
    </font>
    <font>
      <b/>
      <i/>
      <u/>
      <sz val="11"/>
      <color theme="1"/>
      <name val="Aptos Narrow"/>
      <family val="2"/>
      <scheme val="minor"/>
    </font>
    <font>
      <sz val="11"/>
      <color rgb="FFCD5937"/>
      <name val="Aptos Narrow"/>
      <family val="2"/>
      <scheme val="minor"/>
    </font>
    <font>
      <b/>
      <u/>
      <sz val="11"/>
      <color theme="1"/>
      <name val="Aptos Narrow"/>
      <family val="2"/>
      <scheme val="minor"/>
    </font>
    <font>
      <sz val="12"/>
      <color rgb="FF000000"/>
      <name val="Calibri"/>
      <charset val="1"/>
    </font>
    <font>
      <sz val="10"/>
      <color indexed="8"/>
      <name val="Arial"/>
      <family val="2"/>
    </font>
    <font>
      <sz val="12"/>
      <color theme="1"/>
      <name val="Aptos"/>
      <charset val="1"/>
    </font>
    <font>
      <u/>
      <sz val="11"/>
      <color rgb="FF1E53A3"/>
      <name val="Aptos Narrow"/>
      <family val="2"/>
      <scheme val="minor"/>
    </font>
    <font>
      <b/>
      <sz val="10"/>
      <color indexed="8"/>
      <name val="Calibri"/>
      <family val="2"/>
      <scheme val="minor"/>
    </font>
    <font>
      <b/>
      <sz val="10"/>
      <color theme="1"/>
      <name val="Calibri"/>
      <family val="2"/>
      <scheme val="minor"/>
    </font>
    <font>
      <sz val="11"/>
      <color rgb="FF000000"/>
      <name val="Calibri"/>
      <family val="2"/>
    </font>
    <font>
      <sz val="11"/>
      <color rgb="FF242424"/>
      <name val="Aptos Narrow"/>
      <charset val="1"/>
    </font>
    <font>
      <sz val="12"/>
      <color rgb="FF212529"/>
      <name val="Prompt-Regular"/>
      <family val="2"/>
      <charset val="1"/>
    </font>
    <font>
      <sz val="11"/>
      <color rgb="FF424242"/>
      <name val="AbyssEnterpriseSansVF"/>
      <charset val="1"/>
    </font>
    <font>
      <sz val="11"/>
      <color rgb="FF424242"/>
      <name val="Arial"/>
    </font>
    <font>
      <sz val="10"/>
      <color indexed="8"/>
      <name val="Arial"/>
    </font>
    <font>
      <b/>
      <sz val="11"/>
      <color rgb="FF767676"/>
      <name val="Arial"/>
      <family val="2"/>
      <charset val="1"/>
    </font>
    <font>
      <sz val="11"/>
      <color theme="1"/>
      <name val="-Apple-System"/>
      <charset val="1"/>
    </font>
    <font>
      <sz val="10"/>
      <color rgb="FF000000"/>
      <name val="Arial"/>
      <family val="2"/>
    </font>
    <font>
      <sz val="11"/>
      <color rgb="FF001D35"/>
      <name val="Arial"/>
      <family val="2"/>
      <charset val="1"/>
    </font>
    <font>
      <sz val="15"/>
      <color rgb="FF2E3F51"/>
      <name val="Poppins"/>
      <charset val="1"/>
    </font>
    <font>
      <sz val="10"/>
      <color indexed="8"/>
      <name val="Calibri"/>
      <family val="2"/>
    </font>
    <font>
      <b/>
      <sz val="12"/>
      <color rgb="FF003366"/>
      <name val="Times New Roman"/>
      <charset val="1"/>
    </font>
    <font>
      <b/>
      <sz val="8.5"/>
      <color rgb="FFA2A2A2"/>
      <name val="Times New Roman"/>
      <charset val="1"/>
    </font>
  </fonts>
  <fills count="8">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bgColor indexed="64"/>
      </patternFill>
    </fill>
    <fill>
      <patternFill patternType="solid">
        <fgColor theme="3" tint="0.499984740745262"/>
        <bgColor indexed="64"/>
      </patternFill>
    </fill>
    <fill>
      <patternFill patternType="solid">
        <fgColor theme="0"/>
        <bgColor indexed="64"/>
      </patternFill>
    </fill>
  </fills>
  <borders count="9">
    <border>
      <left/>
      <right/>
      <top/>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CBCBCB"/>
      </left>
      <right style="thin">
        <color rgb="FFCBCBCB"/>
      </right>
      <top style="thin">
        <color rgb="FFCBCBCB"/>
      </top>
      <bottom style="thin">
        <color rgb="FFCBCBCB"/>
      </bottom>
      <diagonal/>
    </border>
  </borders>
  <cellStyleXfs count="6">
    <xf numFmtId="0" fontId="0" fillId="0" borderId="0"/>
    <xf numFmtId="0" fontId="1" fillId="0" borderId="0" applyNumberFormat="0" applyFill="0" applyBorder="0" applyAlignment="0" applyProtection="0"/>
    <xf numFmtId="0" fontId="9" fillId="0" borderId="0">
      <alignment vertical="top"/>
    </xf>
    <xf numFmtId="0" fontId="9" fillId="0" borderId="0">
      <alignment vertical="top"/>
    </xf>
    <xf numFmtId="0" fontId="9" fillId="0" borderId="0">
      <alignment vertical="top"/>
    </xf>
    <xf numFmtId="0" fontId="14" fillId="0" borderId="0"/>
  </cellStyleXfs>
  <cellXfs count="67">
    <xf numFmtId="0" fontId="0" fillId="0" borderId="0" xfId="0"/>
    <xf numFmtId="0" fontId="1" fillId="0" borderId="0" xfId="1"/>
    <xf numFmtId="9" fontId="0" fillId="0" borderId="0" xfId="0" applyNumberFormat="1"/>
    <xf numFmtId="0" fontId="2" fillId="0" borderId="0" xfId="0" applyFont="1"/>
    <xf numFmtId="0" fontId="2" fillId="0" borderId="1" xfId="0" applyFont="1" applyBorder="1"/>
    <xf numFmtId="0" fontId="2" fillId="2" borderId="1" xfId="0" applyFont="1" applyFill="1" applyBorder="1"/>
    <xf numFmtId="0" fontId="3" fillId="2" borderId="0" xfId="0" applyFont="1" applyFill="1" applyAlignment="1">
      <alignment wrapText="1"/>
    </xf>
    <xf numFmtId="0" fontId="0" fillId="0" borderId="0" xfId="0" applyAlignment="1">
      <alignment horizontal="left" vertical="top"/>
    </xf>
    <xf numFmtId="0" fontId="0" fillId="0" borderId="0" xfId="0" applyAlignment="1">
      <alignment horizontal="left" vertical="top" wrapText="1"/>
    </xf>
    <xf numFmtId="14" fontId="0" fillId="0" borderId="0" xfId="0" applyNumberForma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16" fontId="0" fillId="0" borderId="0" xfId="0" applyNumberFormat="1"/>
    <xf numFmtId="0" fontId="10" fillId="4" borderId="3" xfId="0" applyFont="1" applyFill="1" applyBorder="1" applyAlignment="1">
      <alignment wrapText="1"/>
    </xf>
    <xf numFmtId="0" fontId="0" fillId="4" borderId="3" xfId="0" applyFill="1" applyBorder="1"/>
    <xf numFmtId="0" fontId="10" fillId="4" borderId="3" xfId="0" applyFont="1" applyFill="1" applyBorder="1"/>
    <xf numFmtId="0" fontId="11" fillId="0" borderId="0" xfId="0" applyFont="1"/>
    <xf numFmtId="0" fontId="12" fillId="3" borderId="2" xfId="0" applyFont="1" applyFill="1" applyBorder="1" applyAlignment="1">
      <alignment horizontal="center" vertical="center"/>
    </xf>
    <xf numFmtId="0" fontId="13" fillId="3" borderId="2" xfId="0" applyFont="1" applyFill="1" applyBorder="1" applyAlignment="1">
      <alignment horizontal="center" vertical="center"/>
    </xf>
    <xf numFmtId="14" fontId="4" fillId="3" borderId="0" xfId="0" applyNumberFormat="1" applyFont="1" applyFill="1"/>
    <xf numFmtId="0" fontId="4" fillId="3" borderId="0" xfId="0" applyFont="1" applyFill="1"/>
    <xf numFmtId="8" fontId="0" fillId="0" borderId="0" xfId="0" applyNumberFormat="1"/>
    <xf numFmtId="0" fontId="15" fillId="0" borderId="0" xfId="0" applyFont="1"/>
    <xf numFmtId="1" fontId="0" fillId="0" borderId="0" xfId="0" applyNumberFormat="1"/>
    <xf numFmtId="0" fontId="0" fillId="5" borderId="3" xfId="0" applyFill="1" applyBorder="1"/>
    <xf numFmtId="0" fontId="2" fillId="5" borderId="3" xfId="0" applyFont="1" applyFill="1" applyBorder="1"/>
    <xf numFmtId="0" fontId="0" fillId="4" borderId="5" xfId="0" applyFill="1" applyBorder="1"/>
    <xf numFmtId="0" fontId="0" fillId="5" borderId="6" xfId="0" applyFill="1" applyBorder="1"/>
    <xf numFmtId="0" fontId="2" fillId="5" borderId="6" xfId="0" applyFont="1" applyFill="1" applyBorder="1"/>
    <xf numFmtId="0" fontId="0" fillId="5" borderId="7" xfId="0" applyFill="1" applyBorder="1"/>
    <xf numFmtId="0" fontId="0" fillId="5" borderId="4" xfId="0" applyFill="1" applyBorder="1"/>
    <xf numFmtId="0" fontId="16" fillId="0" borderId="0" xfId="0" applyFont="1"/>
    <xf numFmtId="0" fontId="17" fillId="0" borderId="0" xfId="0" applyFont="1"/>
    <xf numFmtId="0" fontId="17" fillId="2" borderId="8" xfId="0" applyFont="1" applyFill="1" applyBorder="1" applyAlignment="1">
      <alignment wrapText="1"/>
    </xf>
    <xf numFmtId="14" fontId="17" fillId="2" borderId="8" xfId="0" applyNumberFormat="1" applyFont="1" applyFill="1" applyBorder="1" applyAlignment="1">
      <alignment wrapText="1"/>
    </xf>
    <xf numFmtId="8" fontId="17" fillId="2" borderId="8" xfId="0" applyNumberFormat="1" applyFont="1" applyFill="1" applyBorder="1" applyAlignment="1">
      <alignment wrapText="1"/>
    </xf>
    <xf numFmtId="8" fontId="17" fillId="0" borderId="0" xfId="0" applyNumberFormat="1" applyFont="1"/>
    <xf numFmtId="0" fontId="18" fillId="0" borderId="0" xfId="0" applyFont="1"/>
    <xf numFmtId="1" fontId="19" fillId="0" borderId="0" xfId="0" applyNumberFormat="1" applyFont="1" applyAlignment="1">
      <alignment vertical="top"/>
    </xf>
    <xf numFmtId="0" fontId="20" fillId="0" borderId="0" xfId="0" applyFont="1"/>
    <xf numFmtId="0" fontId="0" fillId="5" borderId="0" xfId="0" applyFill="1"/>
    <xf numFmtId="0" fontId="9" fillId="0" borderId="0" xfId="0" applyFont="1" applyAlignment="1">
      <alignment vertical="top"/>
    </xf>
    <xf numFmtId="0" fontId="21" fillId="0" borderId="0" xfId="0" applyFont="1"/>
    <xf numFmtId="0" fontId="2" fillId="2" borderId="0" xfId="0" applyFont="1" applyFill="1"/>
    <xf numFmtId="0" fontId="2" fillId="6" borderId="3" xfId="0" applyFont="1" applyFill="1" applyBorder="1"/>
    <xf numFmtId="0" fontId="0" fillId="6" borderId="3" xfId="0" applyFill="1" applyBorder="1"/>
    <xf numFmtId="0" fontId="2" fillId="6" borderId="3" xfId="0" applyFont="1" applyFill="1" applyBorder="1" applyAlignment="1">
      <alignment wrapText="1"/>
    </xf>
    <xf numFmtId="6" fontId="0" fillId="0" borderId="0" xfId="0" applyNumberFormat="1"/>
    <xf numFmtId="0" fontId="22" fillId="0" borderId="0" xfId="0" applyFont="1"/>
    <xf numFmtId="8" fontId="22" fillId="0" borderId="0" xfId="0" applyNumberFormat="1" applyFont="1"/>
    <xf numFmtId="0" fontId="23" fillId="0" borderId="0" xfId="0" applyFont="1"/>
    <xf numFmtId="0" fontId="24" fillId="0" borderId="0" xfId="0" applyFont="1"/>
    <xf numFmtId="0" fontId="25" fillId="0" borderId="0" xfId="0" applyFont="1" applyAlignment="1">
      <alignment horizontal="center" vertical="top"/>
    </xf>
    <xf numFmtId="0" fontId="1" fillId="4" borderId="3" xfId="1" applyFill="1" applyBorder="1"/>
    <xf numFmtId="0" fontId="0" fillId="0" borderId="0" xfId="0" applyAlignment="1">
      <alignment vertical="top"/>
    </xf>
    <xf numFmtId="0" fontId="27" fillId="2" borderId="0" xfId="0" applyFont="1" applyFill="1"/>
    <xf numFmtId="0" fontId="26" fillId="2" borderId="0" xfId="0" applyFont="1" applyFill="1"/>
    <xf numFmtId="0" fontId="1" fillId="0" borderId="0" xfId="1" applyAlignment="1">
      <alignment horizontal="left" vertical="top"/>
    </xf>
    <xf numFmtId="0" fontId="2" fillId="6" borderId="0" xfId="0" applyFont="1" applyFill="1"/>
    <xf numFmtId="0" fontId="0" fillId="6" borderId="0" xfId="0" applyFill="1"/>
    <xf numFmtId="0" fontId="0" fillId="7" borderId="0" xfId="0" applyFill="1"/>
  </cellXfs>
  <cellStyles count="6">
    <cellStyle name="Hyperlink" xfId="1" builtinId="8"/>
    <cellStyle name="Normal" xfId="0" builtinId="0"/>
    <cellStyle name="Normal 2" xfId="2" xr:uid="{845E2755-F664-482E-99BE-FF420C7ECD86}"/>
    <cellStyle name="Normal 4" xfId="5" xr:uid="{F26F1D4F-B11D-43D4-B6B0-56E85734232A}"/>
    <cellStyle name="Normal_Combine Sheet" xfId="4" xr:uid="{293112E4-85B7-4C88-B5E5-9408BA842C3C}"/>
    <cellStyle name="Normal_Sheet1" xfId="3" xr:uid="{902174B2-04FD-472C-B6E6-213B174B868D}"/>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u01.safelinks.protection.outlook.com/?url=https%3A%2F%2Fdrive.google.com%2Fdrive%2Ffolders%2F1VxoxrH-qzYUPONTiNyQNUn7xfHBIoNyu&amp;data=05%7C02%7C%7Ce51ea0d1fc3e45dfa34108de2ab05081%7C69602cf4a76e4265955f03c329c50608%7C0%7C0%7C638995135070866810%7CUnknown%7CTWFpbGZsb3d8eyJFbXB0eU1hcGkiOnRydWUsIlYiOiIwLjAuMDAwMCIsIlAiOiJXaW4zMiIsIkFOIjoiTWFpbCIsIldUIjoyfQ%3D%3D%7C60000%7C%7C%7C&amp;sdata=RFplzPCLU6FaXH209%2BlnnuVFqDUfJBU5gz%2F82ssZSGk%3D&amp;reserved=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lice.cgm.ag/wm/app-SelfServicePortal/landing-page/14587d3e-63aa-e611-d99b-bc5ff41a70c0" TargetMode="External"/><Relationship Id="rId18" Type="http://schemas.openxmlformats.org/officeDocument/2006/relationships/hyperlink" Target="https://cgm01-my.sharepoint.com/:x:/g/personal/ajay_tomar_cgm_com/EZ8eFyb1RsNBsGKWgyFjmbUBY2q2CLRpPtxTXITYq7YNhA?wdOrigin=TEAMS-WEB.p2p_ns.rwc&amp;wdExp=TEAMS-TREATMENT&amp;wdhostclicktime=1750106246075&amp;web=1" TargetMode="External"/><Relationship Id="rId26" Type="http://schemas.openxmlformats.org/officeDocument/2006/relationships/hyperlink" Target="https://cgm01-my.sharepoint.com/:x:/r/personal/ajay_tomar_cgm_com/_layouts/15/Doc.aspx?sourcedoc=%7B14926277-11A0-4CD5-BE06-BBA4628A0A45%7D&amp;file=Avalanche%20Hourly%20production%20tracker.xlsx&amp;action=default&amp;mobileredirect=true&amp;DefaultItemOpen=1&amp;ct=1753210386538&amp;wdOrigin=OFFICECOM-WEB.MAIN.EDGEWORTH&amp;cid=6dde1a3b-1a9a-4282-ad16-8d90aa270cb3&amp;wdPreviousSessionSrc=HarmonyWeb&amp;wdPreviousSession=18ba6366-0a3b-4f41-af04-9f6d64cdeeea" TargetMode="External"/><Relationship Id="rId39" Type="http://schemas.openxmlformats.org/officeDocument/2006/relationships/hyperlink" Target="https://auth.exelatech.com/realms/exela-consumers/protocol/openid-connect/auth?response_type=code&amp;client_id=pchglobal&amp;redirect_uri=https://americas.pch.global/PCHGlobal/website/KCAuthentication.aspx&amp;scope=openid" TargetMode="External"/><Relationship Id="rId21" Type="http://schemas.openxmlformats.org/officeDocument/2006/relationships/hyperlink" Target="https://provider.cdphp.com/" TargetMode="External"/><Relationship Id="rId34" Type="http://schemas.openxmlformats.org/officeDocument/2006/relationships/hyperlink" Target="https://auth.exelatech.com/realms/exela-consumers/protocol/openid-connect/auth?response_type=code&amp;client_id=pchglobal&amp;redirect_uri=https://americas.pch.global/PCHGlobal/website/KCAuthentication.aspx&amp;scope=openid" TargetMode="External"/><Relationship Id="rId42" Type="http://schemas.openxmlformats.org/officeDocument/2006/relationships/hyperlink" Target="mailto:ayush.mehra@cgm.com" TargetMode="External"/><Relationship Id="rId47" Type="http://schemas.openxmlformats.org/officeDocument/2006/relationships/hyperlink" Target="https://eprovider.globelifeinc.com/Claims/Claims/" TargetMode="External"/><Relationship Id="rId50" Type="http://schemas.openxmlformats.org/officeDocument/2006/relationships/hyperlink" Target="mailto:abhi.yadav@cgm.com" TargetMode="External"/><Relationship Id="rId7" Type="http://schemas.openxmlformats.org/officeDocument/2006/relationships/hyperlink" Target="https://cgmaprima.emds.com/RDWeb/Pages/en-US/login.aspx" TargetMode="External"/><Relationship Id="rId2" Type="http://schemas.openxmlformats.org/officeDocument/2006/relationships/hyperlink" Target="http://aims.cgm.ag/" TargetMode="External"/><Relationship Id="rId16" Type="http://schemas.openxmlformats.org/officeDocument/2006/relationships/hyperlink" Target="mailto:nishant.tripathi@cgm.com" TargetMode="External"/><Relationship Id="rId29" Type="http://schemas.openxmlformats.org/officeDocument/2006/relationships/hyperlink" Target="https://cgm01-my.sharepoint.com/:x:/g/personal/komal_lnu4_cgm_com/EQimG5LplExNlGlTxE58AdkBuxttRF3JPzpLnRhlr-wNZg?email=ayush.mehra%40cgm.com&amp;wdOrigin=TEAMS-WEB.p2p_ns.rwc&amp;wdExp=TEAMS-TREATMENT&amp;wdhostclicktime=1751898086405&amp;web=1" TargetMode="External"/><Relationship Id="rId11" Type="http://schemas.openxmlformats.org/officeDocument/2006/relationships/hyperlink" Target="mailto:ayush.mehra@cgm.com" TargetMode="External"/><Relationship Id="rId24" Type="http://schemas.openxmlformats.org/officeDocument/2006/relationships/hyperlink" Target="mailto:komal.lnu4@cgm.com" TargetMode="External"/><Relationship Id="rId32" Type="http://schemas.openxmlformats.org/officeDocument/2006/relationships/hyperlink" Target="https://cgm01-my.sharepoint.com/:x:/r/personal/vishal_sharma_cgm_com/_layouts/15/Doc.aspx?sourcedoc=%7B2DD96E0D-D320-453B-B17A-6D4E9C38A222%7D&amp;file=Login%20Credentials%20eMDs%20RCM%20Transtion.xlsx&amp;fromShare=true&amp;action=default&amp;mobileredirect=true" TargetMode="External"/><Relationship Id="rId37" Type="http://schemas.openxmlformats.org/officeDocument/2006/relationships/hyperlink" Target="https://happe-mds.com/happe-clients/" TargetMode="External"/><Relationship Id="rId40" Type="http://schemas.openxmlformats.org/officeDocument/2006/relationships/hyperlink" Target="mailto:komal.lnu4@cgm.com" TargetMode="External"/><Relationship Id="rId45" Type="http://schemas.openxmlformats.org/officeDocument/2006/relationships/hyperlink" Target="https://cgm01-my.sharepoint.com/:x:/r/personal/nikhil_sehgal_cgm_com/_layouts/15/Doc.aspx?sourcedoc=%7B8888F591-2BC6-467E-8345-2B632E12BBD3%7D&amp;file=TaskMan%20Tracker.xlsx&amp;fromShare=true&amp;action=default&amp;mobileredirect=true" TargetMode="External"/><Relationship Id="rId5" Type="http://schemas.openxmlformats.org/officeDocument/2006/relationships/hyperlink" Target="https://confluence.cgm.ag/" TargetMode="External"/><Relationship Id="rId15" Type="http://schemas.openxmlformats.org/officeDocument/2006/relationships/hyperlink" Target="mailto:Lost@789" TargetMode="External"/><Relationship Id="rId23" Type="http://schemas.openxmlformats.org/officeDocument/2006/relationships/hyperlink" Target="https://cgm01-my.sharepoint.com/:x:/r/personal/sonu_lnu3_cgm_com/_layouts/15/Doc.aspx?sourcedoc=%7BAA8B3E69-066C-4ACD-ACF2-3C607EC18440%7D&amp;file=eMDs%20Attendance%20Tracker%202024%202.xlsb&amp;fromShare=true&amp;action=default&amp;mobileredirect=true" TargetMode="External"/><Relationship Id="rId28" Type="http://schemas.openxmlformats.org/officeDocument/2006/relationships/hyperlink" Target="https://www.billeaserx.in/" TargetMode="External"/><Relationship Id="rId36" Type="http://schemas.openxmlformats.org/officeDocument/2006/relationships/hyperlink" Target="https://cgm01-my.sharepoint.com/:x:/r/personal/ajay_tomar_cgm_com/_layouts/15/Doc.aspx?sourcedoc=%7B14926277-11A0-4CD5-BE06-BBA4628A0A45%7D&amp;file=Avalanche%20Hourly%20production%20tracker.xlsx&amp;fromShare=true&amp;action=default&amp;mobileredirect=true&amp;wdOrigin=TEAMS-WEB.p2p_ns.rwc&amp;wdExp=TEAMS-TREATMENT&amp;wdhostclicktime=1758892153236&amp;web=1" TargetMode="External"/><Relationship Id="rId49" Type="http://schemas.openxmlformats.org/officeDocument/2006/relationships/hyperlink" Target="https://secure.healthx.com/v3app/a/?6713520D04184E07101C1A2003140C1C130C11166E1A0A3A00135F460D1C4C2D4B001F04105E160A5215265D035F5F515D115E2741563548515F58565E407C550441415E044D0A0E587559055C591843011028161D6A55431D0C1705482B000808491302150B0B5E7C085F440A52004A5E75400136485C585A5C5E457D53555F405956165F0B0F38480F111D0C024F367444536121212D2D2440127E27205F4C2B2042505D2D702F572A2B5D2340327641271353565A5E/&amp;redir=1" TargetMode="External"/><Relationship Id="rId10" Type="http://schemas.openxmlformats.org/officeDocument/2006/relationships/hyperlink" Target="https://online.emedixus.com/" TargetMode="External"/><Relationship Id="rId19" Type="http://schemas.openxmlformats.org/officeDocument/2006/relationships/hyperlink" Target="https://cgm01-my.sharepoint.com/:x:/r/personal/ayush_mehra_cgm_com/_layouts/15/Doc.aspx?sourcedoc=%7B9F82671E-8BBC-479F-A18B-FC2DFD8CE2BE%7D&amp;file=Book%201.xlsx&amp;action=editnew&amp;mobileredirect=true&amp;wdPreviousSession=eccef2f3-9d7d-3ee1-4ecf-eedf1b7e0114&amp;wdNewAndOpenCt=1750857430108&amp;wdo=4&amp;wdOrigin=wacFileNew&amp;wdPreviousCorrelation=7119e6a0-2f2e-4283-97bb-3206b950db37&amp;wdnd=1" TargetMode="External"/><Relationship Id="rId31" Type="http://schemas.openxmlformats.org/officeDocument/2006/relationships/hyperlink" Target="https://cgm01-my.sharepoint.com/:x:/r/personal/sonu_lnu3_cgm_com/_layouts/15/Doc.aspx?sourcedoc=%7BEE51D866-18D3-4FB3-9198-3B16A3E4BE98%7D&amp;file=eMDs%20RCM%20-%20Website%20Tracker%20(3).xlsx&amp;action=default&amp;mobileredirect=true&amp;DefaultItemOpen=1" TargetMode="External"/><Relationship Id="rId44" Type="http://schemas.openxmlformats.org/officeDocument/2006/relationships/hyperlink" Target="mailto:ayush.mehra@cgm.com" TargetMode="External"/><Relationship Id="rId4" Type="http://schemas.openxmlformats.org/officeDocument/2006/relationships/hyperlink" Target="https://cgmone.cgm.ag/corp_en" TargetMode="External"/><Relationship Id="rId9" Type="http://schemas.openxmlformats.org/officeDocument/2006/relationships/hyperlink" Target="mailto:ayush.mehra6411@emds.com" TargetMode="External"/><Relationship Id="rId14" Type="http://schemas.openxmlformats.org/officeDocument/2006/relationships/hyperlink" Target="https://emdsrds.emds.com/RDWeb/Pages/en-US/Default.aspx" TargetMode="External"/><Relationship Id="rId22" Type="http://schemas.openxmlformats.org/officeDocument/2006/relationships/hyperlink" Target="https://www.novitasphere.com/secure/login?state=E0005" TargetMode="External"/><Relationship Id="rId27" Type="http://schemas.openxmlformats.org/officeDocument/2006/relationships/hyperlink" Target="https://cgm01-my.sharepoint.com/:x:/r/personal/nikhil_sehgal_cgm_com/_layouts/15/Doc.aspx?sourcedoc=%7B77AA8970-0E64-42F3-BA2C-5DA12696759B%7D&amp;file=Copy%20of%20TaskMan%20Format%20Sheet.xlsx&amp;action=default&amp;mobileredirect=true" TargetMode="External"/><Relationship Id="rId30" Type="http://schemas.openxmlformats.org/officeDocument/2006/relationships/hyperlink" Target="https://confluence.cgm.ag/pages/viewpage.action?pageId=1787107891" TargetMode="External"/><Relationship Id="rId35" Type="http://schemas.openxmlformats.org/officeDocument/2006/relationships/hyperlink" Target="https://sites.google.com/view/cgm-aria/Taskman-Format" TargetMode="External"/><Relationship Id="rId43" Type="http://schemas.openxmlformats.org/officeDocument/2006/relationships/hyperlink" Target="https://cgm01-my.sharepoint.com/:x:/r/personal/ajay_tomar_cgm_com/_layouts/15/Doc.aspx?sourcedoc=%7B2403123D-DD14-488E-9744-3827499D9C9B%7D&amp;file=Non-Ekos%20Production%20File%20Template.xlsx&amp;fromShare=true&amp;action=default&amp;mobileredirect=true" TargetMode="External"/><Relationship Id="rId48" Type="http://schemas.openxmlformats.org/officeDocument/2006/relationships/hyperlink" Target="https://secure.healthx.com/v3app/a/?6713520D04184E07101C1A2003140C1C130C11166E1A0A3A00135F460D1C4C2D4B001F04105E160A5215265D035F5F515D115E2741563548515F58565E407C550441415E044D0A0E587559055C591843011028161D6A55431D0C1705482B000808491302150B0B5E7C085F440A52004A5E75400136485C585A5C5E457D53555F405956165F0B0F38480F111D0C024F367444536121212D2D2440127E27205F4C2B2042505D2D702F572A2B5D2340327641271353565A5E/&amp;redir=1" TargetMode="External"/><Relationship Id="rId8" Type="http://schemas.openxmlformats.org/officeDocument/2006/relationships/hyperlink" Target="https://emds.greythr.com/uas/portal/auth/reset-success" TargetMode="External"/><Relationship Id="rId3" Type="http://schemas.openxmlformats.org/officeDocument/2006/relationships/hyperlink" Target="https://totara.cgm.ag/totara/dashboard/index.php" TargetMode="External"/><Relationship Id="rId12" Type="http://schemas.openxmlformats.org/officeDocument/2006/relationships/hyperlink" Target="https://us.chat.cgm.ag/chat" TargetMode="External"/><Relationship Id="rId17" Type="http://schemas.openxmlformats.org/officeDocument/2006/relationships/hyperlink" Target="https://cgm01-my.sharepoint.com/:x:/r/personal/ayush_mehra_cgm_com/_layouts/15/Doc.aspx?sourcedoc=%7BCE34A918-9A4E-44A8-9B37-235D4F1ED6B7%7D&amp;file=ayush%20and%20Aashi%20paid%20claims%2006162025-.xlsx&amp;action=default&amp;mobileredirect=true" TargetMode="External"/><Relationship Id="rId25" Type="http://schemas.openxmlformats.org/officeDocument/2006/relationships/hyperlink" Target="mailto:nikhil.sehgal@cgm.com" TargetMode="External"/><Relationship Id="rId33" Type="http://schemas.openxmlformats.org/officeDocument/2006/relationships/hyperlink" Target="https://www.alliedbenefit.com/PFT" TargetMode="External"/><Relationship Id="rId38" Type="http://schemas.openxmlformats.org/officeDocument/2006/relationships/hyperlink" Target="https://support.cgm.us/console" TargetMode="External"/><Relationship Id="rId46" Type="http://schemas.openxmlformats.org/officeDocument/2006/relationships/hyperlink" Target="mailto:ayush.mehra@cgm.com" TargetMode="External"/><Relationship Id="rId20" Type="http://schemas.openxmlformats.org/officeDocument/2006/relationships/hyperlink" Target="https://cgm01-my.sharepoint.com/:x:/r/personal/ayush_mehra_cgm_com/_layouts/15/Doc.aspx?sourcedoc=%7B5306F7B8-9D0F-4A9B-8F47-2C755295AF12%7D&amp;file=NikhilS%20production.xlsx&amp;action=default&amp;mobileredirect=true&amp;wdOrigin=OFFICE-OFFICE-METAOS.FILEBROWSER" TargetMode="External"/><Relationship Id="rId41" Type="http://schemas.openxmlformats.org/officeDocument/2006/relationships/hyperlink" Target="https://emdsrds.emds.com/RDWeb/Pages/en-US/Default.aspx" TargetMode="External"/><Relationship Id="rId1" Type="http://schemas.openxmlformats.org/officeDocument/2006/relationships/hyperlink" Target="https://cgmone.cgm.ag/corp_en" TargetMode="External"/><Relationship Id="rId6" Type="http://schemas.openxmlformats.org/officeDocument/2006/relationships/hyperlink" Target="mailto:ayush.mehra6411@emds.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bcbsil.com/docs/provider/il/education/forms/medicaid-claims-inquiry-dispute-request-form.pdf" TargetMode="External"/><Relationship Id="rId1" Type="http://schemas.openxmlformats.org/officeDocument/2006/relationships/hyperlink" Target="https://www.aetna.com/content/dam/aetna/pdfs/aetnacom/healthcare-professionals/documents-forms/provider-complaint-appeal-request.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eprg.wellmed.net/" TargetMode="External"/><Relationship Id="rId3" Type="http://schemas.openxmlformats.org/officeDocument/2006/relationships/hyperlink" Target="https://provider.zelispayments.com/" TargetMode="External"/><Relationship Id="rId7" Type="http://schemas.openxmlformats.org/officeDocument/2006/relationships/hyperlink" Target="https://infocenter.humana-military.com/prov/service/claims/dashboard/ClaimsT17" TargetMode="External"/><Relationship Id="rId2" Type="http://schemas.openxmlformats.org/officeDocument/2006/relationships/hyperlink" Target="https://www.providerpayments.com/Inquiry.aspx" TargetMode="External"/><Relationship Id="rId1" Type="http://schemas.openxmlformats.org/officeDocument/2006/relationships/hyperlink" Target="https://www.payspanhealth.com/NPS/" TargetMode="External"/><Relationship Id="rId6" Type="http://schemas.openxmlformats.org/officeDocument/2006/relationships/hyperlink" Target="https://usaa.providerterminal.com" TargetMode="External"/><Relationship Id="rId5" Type="http://schemas.openxmlformats.org/officeDocument/2006/relationships/hyperlink" Target="https://claims.zirmed.com/Dashboard/Overview/Index?appid=1" TargetMode="External"/><Relationship Id="rId4" Type="http://schemas.openxmlformats.org/officeDocument/2006/relationships/hyperlink" Target="https://apps.availity.com/public/apps/home/" TargetMode="External"/><Relationship Id="rId9" Type="http://schemas.openxmlformats.org/officeDocument/2006/relationships/hyperlink" Target="https://auth.exelatech.com/realms/exela-consumers/protocol/openid-connect/auth?response_type=code&amp;client_id=pchglobal&amp;redirect_uri=https://americas.pch.global/PCHGlobal/website/KCAuthentication.aspx&amp;scope=open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5149-A7AB-4065-A597-5CCD1D02C557}">
  <dimension ref="A1:AI97"/>
  <sheetViews>
    <sheetView workbookViewId="0">
      <selection activeCell="D16" sqref="D16"/>
    </sheetView>
  </sheetViews>
  <sheetFormatPr defaultRowHeight="15"/>
  <cols>
    <col min="1" max="1" width="14.7109375" style="7" customWidth="1"/>
    <col min="2" max="2" width="47.5703125" style="7" customWidth="1"/>
    <col min="3" max="16384" width="9.140625" style="7"/>
  </cols>
  <sheetData>
    <row r="1" spans="1:35" ht="29.25">
      <c r="A1" s="7" t="s">
        <v>0</v>
      </c>
      <c r="B1" s="8" t="s">
        <v>1</v>
      </c>
    </row>
    <row r="2" spans="1:35" ht="87">
      <c r="A2" s="7" t="s">
        <v>2</v>
      </c>
      <c r="B2" s="8" t="s">
        <v>3</v>
      </c>
    </row>
    <row r="5" spans="1:35">
      <c r="A5" s="7" t="s">
        <v>4</v>
      </c>
      <c r="B5" s="7" t="s">
        <v>5</v>
      </c>
    </row>
    <row r="8" spans="1:35">
      <c r="B8" t="s">
        <v>6</v>
      </c>
      <c r="U8" s="7" t="s">
        <v>7</v>
      </c>
    </row>
    <row r="9" spans="1:35">
      <c r="D9" s="7" t="s">
        <v>8</v>
      </c>
    </row>
    <row r="13" spans="1:35">
      <c r="AI13" s="7" t="s">
        <v>9</v>
      </c>
    </row>
    <row r="14" spans="1:35">
      <c r="AI14" s="7" t="s">
        <v>10</v>
      </c>
    </row>
    <row r="33" spans="1:10">
      <c r="A33" s="63" t="s">
        <v>11</v>
      </c>
    </row>
    <row r="34" spans="1:10">
      <c r="A34" s="7" t="s">
        <v>12</v>
      </c>
      <c r="B34" s="7" t="s">
        <v>13</v>
      </c>
      <c r="C34" s="7" t="s">
        <v>14</v>
      </c>
      <c r="D34" s="7" t="s">
        <v>15</v>
      </c>
      <c r="E34" s="7" t="s">
        <v>16</v>
      </c>
      <c r="F34" s="7" t="s">
        <v>17</v>
      </c>
      <c r="G34" s="7" t="s">
        <v>18</v>
      </c>
      <c r="H34" s="7" t="s">
        <v>19</v>
      </c>
      <c r="I34" s="7" t="s">
        <v>20</v>
      </c>
      <c r="J34" s="7" t="s">
        <v>21</v>
      </c>
    </row>
    <row r="35" spans="1:10">
      <c r="A35" s="7">
        <v>1</v>
      </c>
    </row>
    <row r="36" spans="1:10">
      <c r="A36" s="7">
        <v>2</v>
      </c>
    </row>
    <row r="37" spans="1:10">
      <c r="A37" s="7">
        <v>3</v>
      </c>
    </row>
    <row r="38" spans="1:10">
      <c r="A38" s="7">
        <v>4</v>
      </c>
    </row>
    <row r="39" spans="1:10">
      <c r="A39" s="7">
        <v>5</v>
      </c>
    </row>
    <row r="40" spans="1:10">
      <c r="A40" s="7">
        <v>6</v>
      </c>
    </row>
    <row r="41" spans="1:10">
      <c r="A41" s="7">
        <v>7</v>
      </c>
    </row>
    <row r="42" spans="1:10">
      <c r="A42" s="7">
        <v>8</v>
      </c>
    </row>
    <row r="43" spans="1:10">
      <c r="A43" s="7">
        <v>9</v>
      </c>
    </row>
    <row r="44" spans="1:10">
      <c r="A44" s="7">
        <v>10</v>
      </c>
    </row>
    <row r="45" spans="1:10">
      <c r="A45" s="7">
        <v>11</v>
      </c>
    </row>
    <row r="46" spans="1:10">
      <c r="A46" s="7">
        <v>12</v>
      </c>
    </row>
    <row r="47" spans="1:10">
      <c r="A47" s="7">
        <v>13</v>
      </c>
    </row>
    <row r="48" spans="1:10">
      <c r="A48" s="7">
        <v>14</v>
      </c>
    </row>
    <row r="49" spans="1:1">
      <c r="A49" s="7">
        <v>15</v>
      </c>
    </row>
    <row r="50" spans="1:1">
      <c r="A50" s="7">
        <v>16</v>
      </c>
    </row>
    <row r="51" spans="1:1">
      <c r="A51" s="7">
        <v>17</v>
      </c>
    </row>
    <row r="52" spans="1:1">
      <c r="A52" s="7">
        <v>18</v>
      </c>
    </row>
    <row r="53" spans="1:1">
      <c r="A53" s="7">
        <v>19</v>
      </c>
    </row>
    <row r="54" spans="1:1">
      <c r="A54" s="7">
        <v>20</v>
      </c>
    </row>
    <row r="55" spans="1:1">
      <c r="A55" s="7">
        <v>21</v>
      </c>
    </row>
    <row r="56" spans="1:1">
      <c r="A56" s="7">
        <v>22</v>
      </c>
    </row>
    <row r="57" spans="1:1">
      <c r="A57" s="7">
        <v>23</v>
      </c>
    </row>
    <row r="58" spans="1:1">
      <c r="A58" s="7">
        <v>24</v>
      </c>
    </row>
    <row r="59" spans="1:1">
      <c r="A59" s="7">
        <v>25</v>
      </c>
    </row>
    <row r="60" spans="1:1">
      <c r="A60" s="7">
        <v>26</v>
      </c>
    </row>
    <row r="61" spans="1:1">
      <c r="A61" s="7">
        <v>27</v>
      </c>
    </row>
    <row r="62" spans="1:1">
      <c r="A62" s="7">
        <v>28</v>
      </c>
    </row>
    <row r="63" spans="1:1">
      <c r="A63" s="7">
        <v>29</v>
      </c>
    </row>
    <row r="64" spans="1:1">
      <c r="A64" s="7">
        <v>30</v>
      </c>
    </row>
    <row r="65" spans="1:1">
      <c r="A65" s="7">
        <v>31</v>
      </c>
    </row>
    <row r="66" spans="1:1">
      <c r="A66" s="7">
        <v>32</v>
      </c>
    </row>
    <row r="67" spans="1:1">
      <c r="A67" s="7">
        <v>33</v>
      </c>
    </row>
    <row r="68" spans="1:1">
      <c r="A68" s="7">
        <v>34</v>
      </c>
    </row>
    <row r="69" spans="1:1">
      <c r="A69" s="7">
        <v>35</v>
      </c>
    </row>
    <row r="70" spans="1:1">
      <c r="A70" s="7">
        <v>36</v>
      </c>
    </row>
    <row r="71" spans="1:1">
      <c r="A71" s="7">
        <v>37</v>
      </c>
    </row>
    <row r="72" spans="1:1">
      <c r="A72" s="7">
        <v>38</v>
      </c>
    </row>
    <row r="73" spans="1:1">
      <c r="A73" s="7">
        <v>39</v>
      </c>
    </row>
    <row r="74" spans="1:1">
      <c r="A74" s="7">
        <v>40</v>
      </c>
    </row>
    <row r="75" spans="1:1">
      <c r="A75" s="7">
        <v>41</v>
      </c>
    </row>
    <row r="76" spans="1:1">
      <c r="A76" s="7">
        <v>42</v>
      </c>
    </row>
    <row r="77" spans="1:1">
      <c r="A77" s="7">
        <v>43</v>
      </c>
    </row>
    <row r="78" spans="1:1">
      <c r="A78" s="7">
        <v>44</v>
      </c>
    </row>
    <row r="79" spans="1:1">
      <c r="A79" s="7">
        <v>45</v>
      </c>
    </row>
    <row r="80" spans="1:1">
      <c r="A80" s="7">
        <v>46</v>
      </c>
    </row>
    <row r="81" spans="1:1">
      <c r="A81" s="7">
        <v>47</v>
      </c>
    </row>
    <row r="82" spans="1:1">
      <c r="A82" s="7">
        <v>48</v>
      </c>
    </row>
    <row r="83" spans="1:1">
      <c r="A83" s="7">
        <v>49</v>
      </c>
    </row>
    <row r="84" spans="1:1">
      <c r="A84" s="7">
        <v>50</v>
      </c>
    </row>
    <row r="85" spans="1:1">
      <c r="A85" s="7">
        <v>51</v>
      </c>
    </row>
    <row r="86" spans="1:1">
      <c r="A86" s="7">
        <v>52</v>
      </c>
    </row>
    <row r="87" spans="1:1">
      <c r="A87" s="7">
        <v>53</v>
      </c>
    </row>
    <row r="88" spans="1:1">
      <c r="A88" s="7">
        <v>54</v>
      </c>
    </row>
    <row r="89" spans="1:1">
      <c r="A89" s="7">
        <v>55</v>
      </c>
    </row>
    <row r="90" spans="1:1">
      <c r="A90" s="7">
        <v>56</v>
      </c>
    </row>
    <row r="91" spans="1:1">
      <c r="A91" s="7">
        <v>57</v>
      </c>
    </row>
    <row r="92" spans="1:1">
      <c r="A92" s="7">
        <v>58</v>
      </c>
    </row>
    <row r="93" spans="1:1">
      <c r="A93" s="7">
        <v>59</v>
      </c>
    </row>
    <row r="94" spans="1:1">
      <c r="A94" s="7">
        <v>60</v>
      </c>
    </row>
    <row r="95" spans="1:1">
      <c r="A95" s="7">
        <v>61</v>
      </c>
    </row>
    <row r="96" spans="1:1">
      <c r="A96" s="7">
        <v>62</v>
      </c>
    </row>
    <row r="97" spans="1:1">
      <c r="A97" s="7">
        <v>63</v>
      </c>
    </row>
  </sheetData>
  <hyperlinks>
    <hyperlink ref="A33" r:id="rId1" display="https://deu01.safelinks.protection.outlook.com/?url=https%3A%2F%2Fdrive.google.com%2Fdrive%2Ffolders%2F1VxoxrH-qzYUPONTiNyQNUn7xfHBIoNyu&amp;data=05%7C02%7C%7Ce51ea0d1fc3e45dfa34108de2ab05081%7C69602cf4a76e4265955f03c329c50608%7C0%7C0%7C638995135070866810%7CUnknown%7CTWFpbGZsb3d8eyJFbXB0eU1hcGkiOnRydWUsIlYiOiIwLjAuMDAwMCIsIlAiOiJXaW4zMiIsIkFOIjoiTWFpbCIsIldUIjoyfQ%3D%3D%7C60000%7C%7C%7C&amp;sdata=RFplzPCLU6FaXH209%2BlnnuVFqDUfJBU5gz%2F82ssZSGk%3D&amp;reserved=0" xr:uid="{3752BA77-781D-48A5-A082-DBAE9D6189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
  <sheetViews>
    <sheetView tabSelected="1" topLeftCell="A18" workbookViewId="0">
      <selection activeCell="H29" sqref="H29"/>
    </sheetView>
  </sheetViews>
  <sheetFormatPr defaultRowHeight="15"/>
  <cols>
    <col min="1" max="1" width="15.7109375" bestFit="1" customWidth="1"/>
    <col min="2" max="2" width="27.5703125" customWidth="1"/>
    <col min="3" max="3" width="13.140625" customWidth="1"/>
    <col min="4" max="4" width="14.28515625" customWidth="1"/>
    <col min="10" max="10" width="33.85546875" customWidth="1"/>
    <col min="11" max="11" width="12" customWidth="1"/>
    <col min="12" max="12" width="17.28515625" customWidth="1"/>
  </cols>
  <sheetData>
    <row r="1" spans="1:27">
      <c r="A1" t="s">
        <v>22</v>
      </c>
      <c r="B1" s="1" t="s">
        <v>23</v>
      </c>
      <c r="K1" s="1" t="s">
        <v>24</v>
      </c>
      <c r="L1" t="s">
        <v>25</v>
      </c>
    </row>
    <row r="2" spans="1:27">
      <c r="A2" t="s">
        <v>26</v>
      </c>
      <c r="B2" s="1" t="s">
        <v>27</v>
      </c>
      <c r="D2" t="s">
        <v>28</v>
      </c>
      <c r="E2" t="s">
        <v>29</v>
      </c>
      <c r="K2" t="s">
        <v>28</v>
      </c>
      <c r="U2" s="18" t="s">
        <v>30</v>
      </c>
    </row>
    <row r="3" spans="1:27">
      <c r="A3" t="s">
        <v>31</v>
      </c>
      <c r="B3" s="1" t="s">
        <v>32</v>
      </c>
      <c r="J3" t="s">
        <v>33</v>
      </c>
      <c r="K3" t="s">
        <v>34</v>
      </c>
      <c r="U3" s="18" t="s">
        <v>35</v>
      </c>
    </row>
    <row r="4" spans="1:27">
      <c r="A4" t="s">
        <v>36</v>
      </c>
      <c r="B4" s="1" t="s">
        <v>23</v>
      </c>
      <c r="J4" t="s">
        <v>37</v>
      </c>
      <c r="K4" t="s">
        <v>38</v>
      </c>
      <c r="U4" s="18" t="s">
        <v>39</v>
      </c>
    </row>
    <row r="5" spans="1:27">
      <c r="A5" t="s">
        <v>40</v>
      </c>
      <c r="B5" s="1" t="s">
        <v>41</v>
      </c>
      <c r="U5" s="18" t="s">
        <v>42</v>
      </c>
    </row>
    <row r="6" spans="1:27">
      <c r="A6" t="s">
        <v>43</v>
      </c>
      <c r="B6" s="1" t="s">
        <v>44</v>
      </c>
      <c r="C6" s="1" t="s">
        <v>45</v>
      </c>
      <c r="D6" t="s">
        <v>46</v>
      </c>
      <c r="G6" t="s">
        <v>47</v>
      </c>
      <c r="U6" s="18" t="s">
        <v>48</v>
      </c>
      <c r="W6" t="s">
        <v>49</v>
      </c>
      <c r="X6" t="s">
        <v>50</v>
      </c>
      <c r="Y6" t="s">
        <v>51</v>
      </c>
    </row>
    <row r="7" spans="1:27">
      <c r="A7" t="s">
        <v>52</v>
      </c>
      <c r="B7" s="1" t="s">
        <v>53</v>
      </c>
      <c r="C7" t="s">
        <v>54</v>
      </c>
      <c r="D7" t="s">
        <v>46</v>
      </c>
      <c r="U7" s="18" t="s">
        <v>55</v>
      </c>
      <c r="V7">
        <v>34000</v>
      </c>
      <c r="W7">
        <v>10000</v>
      </c>
      <c r="X7">
        <v>5000</v>
      </c>
      <c r="Y7">
        <v>3000</v>
      </c>
      <c r="Z7">
        <v>-10000</v>
      </c>
      <c r="AA7" t="s">
        <v>56</v>
      </c>
    </row>
    <row r="8" spans="1:27">
      <c r="A8" t="s">
        <v>57</v>
      </c>
      <c r="C8" s="1" t="s">
        <v>45</v>
      </c>
      <c r="D8" t="s">
        <v>46</v>
      </c>
      <c r="G8" t="s">
        <v>47</v>
      </c>
      <c r="J8" t="s">
        <v>58</v>
      </c>
      <c r="K8" t="s">
        <v>59</v>
      </c>
      <c r="L8" t="s">
        <v>60</v>
      </c>
      <c r="U8" s="18" t="s">
        <v>61</v>
      </c>
      <c r="V8">
        <v>34000</v>
      </c>
      <c r="W8">
        <v>10000</v>
      </c>
      <c r="X8">
        <v>5000</v>
      </c>
      <c r="Y8">
        <v>3000</v>
      </c>
      <c r="Z8">
        <v>0</v>
      </c>
    </row>
    <row r="9" spans="1:27" ht="15.75">
      <c r="A9" s="3" t="s">
        <v>62</v>
      </c>
      <c r="C9" s="5" t="s">
        <v>24</v>
      </c>
      <c r="D9" s="4" t="s">
        <v>63</v>
      </c>
      <c r="K9" s="1" t="s">
        <v>64</v>
      </c>
      <c r="L9" t="s">
        <v>65</v>
      </c>
      <c r="U9" s="18" t="s">
        <v>66</v>
      </c>
      <c r="V9">
        <v>34000</v>
      </c>
      <c r="W9">
        <v>10000</v>
      </c>
      <c r="X9">
        <v>5000</v>
      </c>
      <c r="Y9">
        <v>3000</v>
      </c>
      <c r="Z9">
        <f>V9-W9-X9-Y9</f>
        <v>16000</v>
      </c>
      <c r="AA9" t="s">
        <v>67</v>
      </c>
    </row>
    <row r="10" spans="1:27" ht="15.75">
      <c r="A10" s="3" t="s">
        <v>68</v>
      </c>
      <c r="C10" s="3" t="s">
        <v>69</v>
      </c>
      <c r="D10" s="4" t="s">
        <v>70</v>
      </c>
      <c r="U10" s="18" t="s">
        <v>71</v>
      </c>
      <c r="V10">
        <v>34000</v>
      </c>
      <c r="W10">
        <v>10000</v>
      </c>
      <c r="X10">
        <v>5000</v>
      </c>
      <c r="Y10">
        <v>3000</v>
      </c>
      <c r="Z10">
        <f>V10-W10-X10-Y10</f>
        <v>16000</v>
      </c>
    </row>
    <row r="11" spans="1:27" ht="15.75">
      <c r="A11" t="s">
        <v>72</v>
      </c>
      <c r="B11" s="1" t="s">
        <v>73</v>
      </c>
      <c r="C11" s="3" t="s">
        <v>74</v>
      </c>
      <c r="D11" s="4" t="s">
        <v>75</v>
      </c>
      <c r="F11" t="s">
        <v>76</v>
      </c>
      <c r="K11" s="1" t="s">
        <v>77</v>
      </c>
      <c r="U11" s="18" t="s">
        <v>78</v>
      </c>
      <c r="V11">
        <v>34000</v>
      </c>
      <c r="W11">
        <v>10000</v>
      </c>
      <c r="X11">
        <v>5000</v>
      </c>
      <c r="Y11">
        <v>3000</v>
      </c>
      <c r="Z11">
        <f>V11-W11-X11-Y11</f>
        <v>16000</v>
      </c>
    </row>
    <row r="12" spans="1:27">
      <c r="A12" t="s">
        <v>79</v>
      </c>
      <c r="B12" s="1" t="s">
        <v>80</v>
      </c>
      <c r="U12" s="18" t="s">
        <v>81</v>
      </c>
      <c r="V12">
        <v>34000</v>
      </c>
      <c r="W12">
        <v>10000</v>
      </c>
      <c r="X12">
        <v>5000</v>
      </c>
      <c r="Y12">
        <v>3000</v>
      </c>
      <c r="Z12">
        <f>V12-W12-X12-Y12</f>
        <v>16000</v>
      </c>
    </row>
    <row r="13" spans="1:27" ht="50.25">
      <c r="A13" s="6" t="s">
        <v>82</v>
      </c>
      <c r="C13" s="3" t="s">
        <v>83</v>
      </c>
      <c r="D13" t="s">
        <v>84</v>
      </c>
      <c r="K13" s="1" t="s">
        <v>85</v>
      </c>
      <c r="U13" s="18" t="s">
        <v>86</v>
      </c>
      <c r="V13">
        <v>34000</v>
      </c>
      <c r="W13">
        <v>10000</v>
      </c>
      <c r="X13">
        <v>5000</v>
      </c>
      <c r="Y13">
        <v>3000</v>
      </c>
      <c r="Z13">
        <f>V13-W13-X13-Y13</f>
        <v>16000</v>
      </c>
    </row>
    <row r="14" spans="1:27" ht="15.75">
      <c r="A14" t="s">
        <v>87</v>
      </c>
      <c r="C14" s="3" t="s">
        <v>88</v>
      </c>
      <c r="D14" s="3" t="s">
        <v>89</v>
      </c>
    </row>
    <row r="15" spans="1:27" ht="15.75">
      <c r="A15" t="s">
        <v>90</v>
      </c>
      <c r="B15" s="1" t="s">
        <v>91</v>
      </c>
      <c r="C15" s="14" t="s">
        <v>92</v>
      </c>
      <c r="D15" s="14" t="s">
        <v>93</v>
      </c>
      <c r="H15" t="s">
        <v>94</v>
      </c>
    </row>
    <row r="16" spans="1:27">
      <c r="A16" t="s">
        <v>95</v>
      </c>
      <c r="B16" s="1" t="s">
        <v>96</v>
      </c>
      <c r="F16" t="s">
        <v>97</v>
      </c>
      <c r="H16" t="s">
        <v>98</v>
      </c>
      <c r="I16" t="s">
        <v>99</v>
      </c>
    </row>
    <row r="17" spans="1:24">
      <c r="Q17" t="s">
        <v>100</v>
      </c>
      <c r="W17" t="s">
        <v>101</v>
      </c>
      <c r="X17" t="s">
        <v>102</v>
      </c>
    </row>
    <row r="18" spans="1:24">
      <c r="Q18" t="s">
        <v>103</v>
      </c>
      <c r="R18">
        <v>13</v>
      </c>
      <c r="S18">
        <v>13</v>
      </c>
      <c r="T18">
        <v>13</v>
      </c>
      <c r="U18">
        <v>13</v>
      </c>
      <c r="V18">
        <v>13</v>
      </c>
      <c r="W18">
        <v>66</v>
      </c>
    </row>
    <row r="19" spans="1:24">
      <c r="Q19" t="s">
        <v>104</v>
      </c>
      <c r="R19">
        <v>26</v>
      </c>
      <c r="S19">
        <v>26</v>
      </c>
      <c r="T19">
        <v>26</v>
      </c>
      <c r="U19">
        <v>26</v>
      </c>
      <c r="V19">
        <v>26</v>
      </c>
    </row>
    <row r="20" spans="1:24">
      <c r="A20" t="s">
        <v>105</v>
      </c>
      <c r="B20" s="10" t="s">
        <v>106</v>
      </c>
      <c r="C20" s="10" t="s">
        <v>107</v>
      </c>
      <c r="Q20" t="s">
        <v>108</v>
      </c>
      <c r="R20">
        <v>39</v>
      </c>
      <c r="S20">
        <v>39</v>
      </c>
      <c r="T20">
        <v>39</v>
      </c>
      <c r="U20">
        <v>39</v>
      </c>
      <c r="V20">
        <v>39</v>
      </c>
    </row>
    <row r="21" spans="1:24">
      <c r="A21" s="13" t="s">
        <v>109</v>
      </c>
    </row>
    <row r="22" spans="1:24">
      <c r="A22" t="s">
        <v>72</v>
      </c>
      <c r="B22" t="s">
        <v>110</v>
      </c>
      <c r="C22" t="s">
        <v>111</v>
      </c>
      <c r="G22" t="s">
        <v>112</v>
      </c>
      <c r="K22" t="s">
        <v>113</v>
      </c>
      <c r="L22" t="s">
        <v>114</v>
      </c>
      <c r="M22" t="s">
        <v>115</v>
      </c>
    </row>
    <row r="23" spans="1:24">
      <c r="A23" t="s">
        <v>116</v>
      </c>
      <c r="B23" t="s">
        <v>117</v>
      </c>
      <c r="C23" t="s">
        <v>118</v>
      </c>
    </row>
    <row r="24" spans="1:24">
      <c r="B24" t="s">
        <v>119</v>
      </c>
    </row>
    <row r="27" spans="1:24" ht="46.5">
      <c r="A27" s="19" t="s">
        <v>120</v>
      </c>
      <c r="B27" s="20"/>
      <c r="C27" s="21" t="s">
        <v>121</v>
      </c>
      <c r="D27" s="21" t="s">
        <v>122</v>
      </c>
      <c r="E27" s="20"/>
      <c r="F27" t="s">
        <v>123</v>
      </c>
      <c r="I27" s="21" t="s">
        <v>121</v>
      </c>
      <c r="J27" t="s">
        <v>124</v>
      </c>
    </row>
    <row r="28" spans="1:24" ht="15.75">
      <c r="A28" s="19" t="s">
        <v>125</v>
      </c>
      <c r="B28" s="20"/>
      <c r="C28" s="21" t="s">
        <v>121</v>
      </c>
      <c r="D28" s="21" t="s">
        <v>122</v>
      </c>
      <c r="E28" s="20"/>
      <c r="F28" t="s">
        <v>123</v>
      </c>
    </row>
    <row r="29" spans="1:24" ht="46.5">
      <c r="A29" s="19" t="s">
        <v>126</v>
      </c>
      <c r="B29" s="20"/>
      <c r="C29" s="21" t="s">
        <v>121</v>
      </c>
      <c r="D29" s="21" t="s">
        <v>122</v>
      </c>
      <c r="E29" s="20"/>
      <c r="F29" t="s">
        <v>123</v>
      </c>
      <c r="H29" s="21" t="s">
        <v>121</v>
      </c>
      <c r="J29" s="49" t="s">
        <v>127</v>
      </c>
      <c r="R29" s="19" t="s">
        <v>128</v>
      </c>
      <c r="S29" s="20"/>
      <c r="T29" s="21" t="s">
        <v>121</v>
      </c>
      <c r="U29" t="s">
        <v>123</v>
      </c>
      <c r="V29" s="32"/>
    </row>
    <row r="30" spans="1:24" ht="30.75">
      <c r="A30" s="19" t="s">
        <v>129</v>
      </c>
      <c r="B30" s="20"/>
      <c r="C30" s="21" t="s">
        <v>121</v>
      </c>
      <c r="D30" s="21" t="s">
        <v>122</v>
      </c>
      <c r="E30" s="20"/>
      <c r="F30" t="s">
        <v>123</v>
      </c>
      <c r="J30" s="62" t="s">
        <v>130</v>
      </c>
      <c r="K30" s="10" t="s">
        <v>131</v>
      </c>
      <c r="L30" s="10"/>
      <c r="M30" s="10"/>
    </row>
    <row r="31" spans="1:24" ht="30.75">
      <c r="A31" s="19" t="s">
        <v>132</v>
      </c>
      <c r="B31" s="20"/>
      <c r="C31" s="21" t="s">
        <v>121</v>
      </c>
      <c r="D31" s="21" t="s">
        <v>122</v>
      </c>
      <c r="E31" s="20"/>
      <c r="F31" t="s">
        <v>123</v>
      </c>
      <c r="J31" s="61" t="s">
        <v>133</v>
      </c>
      <c r="K31" s="10" t="s">
        <v>134</v>
      </c>
      <c r="L31" s="10" t="s">
        <v>135</v>
      </c>
      <c r="M31" s="10" t="s">
        <v>136</v>
      </c>
    </row>
    <row r="32" spans="1:24" ht="30.75">
      <c r="A32" s="19" t="s">
        <v>128</v>
      </c>
      <c r="B32" s="20"/>
      <c r="C32" s="21" t="s">
        <v>121</v>
      </c>
      <c r="D32" s="21" t="s">
        <v>122</v>
      </c>
      <c r="E32" s="32"/>
      <c r="F32" t="s">
        <v>123</v>
      </c>
      <c r="K32" t="s">
        <v>137</v>
      </c>
      <c r="L32" t="s">
        <v>138</v>
      </c>
      <c r="M32" t="s">
        <v>139</v>
      </c>
    </row>
    <row r="33" spans="1:30" ht="15.75">
      <c r="A33" s="33" t="s">
        <v>140</v>
      </c>
      <c r="B33" s="33"/>
      <c r="C33" s="34" t="s">
        <v>121</v>
      </c>
      <c r="D33" s="35"/>
      <c r="E33" s="21" t="s">
        <v>122</v>
      </c>
      <c r="F33" t="s">
        <v>123</v>
      </c>
      <c r="K33" t="s">
        <v>141</v>
      </c>
      <c r="L33" t="s">
        <v>142</v>
      </c>
      <c r="M33" t="s">
        <v>143</v>
      </c>
    </row>
    <row r="34" spans="1:30" ht="15.75">
      <c r="A34" s="30" t="s">
        <v>144</v>
      </c>
      <c r="B34" s="30"/>
      <c r="C34" s="31" t="s">
        <v>121</v>
      </c>
      <c r="D34" s="36"/>
      <c r="E34" s="21" t="s">
        <v>122</v>
      </c>
      <c r="F34" t="s">
        <v>123</v>
      </c>
      <c r="K34" t="s">
        <v>145</v>
      </c>
      <c r="L34" t="s">
        <v>146</v>
      </c>
      <c r="M34" t="s">
        <v>147</v>
      </c>
    </row>
    <row r="35" spans="1:30" ht="15.75">
      <c r="A35" s="30" t="s">
        <v>148</v>
      </c>
      <c r="B35" s="30"/>
      <c r="C35" s="31" t="s">
        <v>121</v>
      </c>
      <c r="D35" s="36"/>
      <c r="E35" s="21" t="s">
        <v>122</v>
      </c>
      <c r="F35" t="s">
        <v>123</v>
      </c>
      <c r="H35" t="s">
        <v>149</v>
      </c>
      <c r="I35" t="s">
        <v>150</v>
      </c>
      <c r="J35" t="s">
        <v>151</v>
      </c>
      <c r="K35" t="s">
        <v>152</v>
      </c>
      <c r="L35" t="s">
        <v>153</v>
      </c>
      <c r="M35" t="s">
        <v>154</v>
      </c>
    </row>
    <row r="36" spans="1:30" ht="15.75">
      <c r="A36" s="30" t="s">
        <v>155</v>
      </c>
      <c r="B36" s="30"/>
      <c r="C36" s="31" t="s">
        <v>121</v>
      </c>
      <c r="D36" s="36"/>
      <c r="E36" s="21" t="s">
        <v>122</v>
      </c>
      <c r="F36" t="s">
        <v>123</v>
      </c>
      <c r="K36" t="s">
        <v>156</v>
      </c>
      <c r="L36" t="s">
        <v>157</v>
      </c>
      <c r="M36" t="s">
        <v>158</v>
      </c>
    </row>
    <row r="37" spans="1:30" ht="15.75">
      <c r="A37" s="30" t="s">
        <v>159</v>
      </c>
      <c r="B37" s="30"/>
      <c r="C37" s="31" t="s">
        <v>121</v>
      </c>
      <c r="D37" s="36"/>
      <c r="E37" s="21" t="s">
        <v>122</v>
      </c>
      <c r="F37" t="s">
        <v>123</v>
      </c>
      <c r="I37" t="s">
        <v>160</v>
      </c>
    </row>
    <row r="38" spans="1:30">
      <c r="A38" s="46" t="s">
        <v>161</v>
      </c>
      <c r="B38" s="46"/>
      <c r="C38" s="46" t="s">
        <v>162</v>
      </c>
      <c r="D38" s="46" t="s">
        <v>122</v>
      </c>
      <c r="E38" s="46"/>
      <c r="F38" s="46" t="s">
        <v>123</v>
      </c>
    </row>
    <row r="39" spans="1:30">
      <c r="A39" s="51" t="s">
        <v>163</v>
      </c>
      <c r="B39" s="51" t="s">
        <v>121</v>
      </c>
      <c r="C39" s="51" t="s">
        <v>122</v>
      </c>
      <c r="D39" s="51"/>
      <c r="E39" s="51" t="s">
        <v>164</v>
      </c>
      <c r="F39" s="51" t="s">
        <v>123</v>
      </c>
      <c r="G39" s="51"/>
      <c r="Y39" t="s">
        <v>165</v>
      </c>
      <c r="AB39" t="s">
        <v>166</v>
      </c>
    </row>
    <row r="40" spans="1:30" ht="46.5">
      <c r="A40" s="50" t="s">
        <v>167</v>
      </c>
      <c r="B40" s="50" t="s">
        <v>162</v>
      </c>
      <c r="C40" s="50" t="s">
        <v>122</v>
      </c>
      <c r="D40" s="51"/>
      <c r="E40" s="51"/>
      <c r="F40" s="51" t="s">
        <v>123</v>
      </c>
      <c r="G40" s="51"/>
      <c r="I40" s="10" t="s">
        <v>168</v>
      </c>
      <c r="J40" s="10" t="s">
        <v>169</v>
      </c>
      <c r="Y40" t="s">
        <v>170</v>
      </c>
      <c r="Z40" s="19" t="s">
        <v>128</v>
      </c>
      <c r="AA40" s="20"/>
      <c r="AB40" s="21" t="s">
        <v>121</v>
      </c>
      <c r="AC40" t="s">
        <v>123</v>
      </c>
      <c r="AD40" s="32"/>
    </row>
    <row r="41" spans="1:30" ht="15.75">
      <c r="A41" s="50" t="s">
        <v>171</v>
      </c>
      <c r="B41" s="52" t="s">
        <v>121</v>
      </c>
      <c r="C41" s="50" t="s">
        <v>122</v>
      </c>
      <c r="D41" s="51"/>
      <c r="E41" s="51" t="s">
        <v>123</v>
      </c>
      <c r="F41" s="51"/>
      <c r="G41" s="51"/>
      <c r="L41" s="66"/>
      <c r="M41" s="66"/>
      <c r="N41" s="66"/>
      <c r="Y41" t="s">
        <v>172</v>
      </c>
    </row>
    <row r="42" spans="1:30" ht="15.75">
      <c r="A42" s="64" t="s">
        <v>173</v>
      </c>
      <c r="B42" s="64" t="s">
        <v>174</v>
      </c>
      <c r="C42" s="64" t="s">
        <v>122</v>
      </c>
      <c r="D42" s="65"/>
      <c r="E42" s="51" t="s">
        <v>123</v>
      </c>
      <c r="F42" s="65"/>
      <c r="G42" s="65"/>
    </row>
    <row r="43" spans="1:30" ht="15.75">
      <c r="A43" s="49"/>
      <c r="B43" s="49"/>
      <c r="C43" s="49"/>
    </row>
    <row r="44" spans="1:30" ht="15.75">
      <c r="A44" s="49"/>
      <c r="B44" s="49"/>
      <c r="C44" s="49"/>
      <c r="J44">
        <v>8</v>
      </c>
    </row>
    <row r="45" spans="1:30">
      <c r="A45" t="s">
        <v>175</v>
      </c>
      <c r="B45" t="s">
        <v>176</v>
      </c>
      <c r="C45" s="1" t="s">
        <v>115</v>
      </c>
      <c r="E45" t="s">
        <v>177</v>
      </c>
    </row>
    <row r="46" spans="1:30">
      <c r="A46" t="s">
        <v>178</v>
      </c>
      <c r="D46" t="s">
        <v>179</v>
      </c>
      <c r="E46" t="s">
        <v>180</v>
      </c>
      <c r="F46" t="s">
        <v>181</v>
      </c>
      <c r="G46" t="s">
        <v>182</v>
      </c>
      <c r="H46" s="22" t="s">
        <v>183</v>
      </c>
    </row>
    <row r="47" spans="1:30">
      <c r="A47" t="s">
        <v>184</v>
      </c>
      <c r="D47" t="s">
        <v>185</v>
      </c>
      <c r="E47" t="s">
        <v>186</v>
      </c>
    </row>
    <row r="48" spans="1:30" ht="57.75">
      <c r="A48" t="s">
        <v>187</v>
      </c>
      <c r="D48" s="1" t="s">
        <v>188</v>
      </c>
      <c r="E48" s="15" t="s">
        <v>189</v>
      </c>
      <c r="O48" s="30" t="s">
        <v>155</v>
      </c>
      <c r="P48" s="30"/>
      <c r="Q48" s="31" t="s">
        <v>121</v>
      </c>
      <c r="R48" s="36"/>
      <c r="S48" t="s">
        <v>123</v>
      </c>
    </row>
    <row r="49" spans="1:5">
      <c r="A49" t="s">
        <v>190</v>
      </c>
      <c r="D49" t="s">
        <v>191</v>
      </c>
      <c r="E49" t="s">
        <v>118</v>
      </c>
    </row>
    <row r="50" spans="1:5">
      <c r="A50" t="s">
        <v>113</v>
      </c>
      <c r="B50" t="s">
        <v>114</v>
      </c>
      <c r="C50" t="s">
        <v>115</v>
      </c>
    </row>
    <row r="51" spans="1:5">
      <c r="A51" t="s">
        <v>192</v>
      </c>
      <c r="B51" t="s">
        <v>193</v>
      </c>
      <c r="C51" t="s">
        <v>122</v>
      </c>
    </row>
    <row r="52" spans="1:5">
      <c r="A52" s="10" t="s">
        <v>194</v>
      </c>
    </row>
    <row r="53" spans="1:5">
      <c r="A53" t="s">
        <v>195</v>
      </c>
      <c r="B53" t="s">
        <v>196</v>
      </c>
      <c r="C53" t="s">
        <v>123</v>
      </c>
    </row>
    <row r="54" spans="1:5">
      <c r="A54" t="s">
        <v>197</v>
      </c>
      <c r="B54" t="s">
        <v>198</v>
      </c>
      <c r="C54" t="s">
        <v>199</v>
      </c>
    </row>
    <row r="55" spans="1:5">
      <c r="A55" t="s">
        <v>200</v>
      </c>
      <c r="B55" t="s">
        <v>201</v>
      </c>
      <c r="C55" t="s">
        <v>202</v>
      </c>
    </row>
    <row r="56" spans="1:5">
      <c r="A56" t="s">
        <v>203</v>
      </c>
      <c r="B56" s="1" t="s">
        <v>204</v>
      </c>
      <c r="C56" t="s">
        <v>123</v>
      </c>
    </row>
    <row r="57" spans="1:5">
      <c r="A57" t="s">
        <v>205</v>
      </c>
      <c r="B57" t="s">
        <v>206</v>
      </c>
      <c r="C57" t="s">
        <v>207</v>
      </c>
    </row>
    <row r="58" spans="1:5">
      <c r="A58" t="s">
        <v>208</v>
      </c>
      <c r="B58" t="s">
        <v>204</v>
      </c>
      <c r="C58" t="s">
        <v>209</v>
      </c>
      <c r="D58" s="1" t="s">
        <v>210</v>
      </c>
    </row>
    <row r="59" spans="1:5">
      <c r="A59" t="s">
        <v>211</v>
      </c>
      <c r="B59" t="s">
        <v>212</v>
      </c>
      <c r="C59" t="s">
        <v>213</v>
      </c>
    </row>
    <row r="60" spans="1:5" ht="15.75">
      <c r="A60" t="s">
        <v>214</v>
      </c>
      <c r="B60" s="37" t="s">
        <v>215</v>
      </c>
      <c r="C60" t="s">
        <v>216</v>
      </c>
    </row>
    <row r="61" spans="1:5">
      <c r="A61" t="s">
        <v>217</v>
      </c>
    </row>
    <row r="62" spans="1:5">
      <c r="A62" t="s">
        <v>218</v>
      </c>
    </row>
    <row r="63" spans="1:5">
      <c r="B63" s="1" t="s">
        <v>219</v>
      </c>
      <c r="C63" t="s">
        <v>220</v>
      </c>
      <c r="D63" t="s">
        <v>221</v>
      </c>
    </row>
    <row r="64" spans="1:5">
      <c r="A64" t="s">
        <v>222</v>
      </c>
    </row>
    <row r="66" spans="1:7">
      <c r="A66" t="s">
        <v>223</v>
      </c>
      <c r="B66" s="1" t="s">
        <v>224</v>
      </c>
      <c r="G66" t="s">
        <v>225</v>
      </c>
    </row>
    <row r="67" spans="1:7">
      <c r="B67" s="1" t="s">
        <v>226</v>
      </c>
    </row>
    <row r="68" spans="1:7">
      <c r="A68" t="s">
        <v>227</v>
      </c>
      <c r="B68" s="1" t="s">
        <v>228</v>
      </c>
    </row>
    <row r="69" spans="1:7">
      <c r="A69" t="s">
        <v>229</v>
      </c>
      <c r="B69" s="1" t="s">
        <v>230</v>
      </c>
    </row>
    <row r="70" spans="1:7">
      <c r="A70" t="s">
        <v>231</v>
      </c>
      <c r="B70" s="1" t="s">
        <v>232</v>
      </c>
    </row>
    <row r="71" spans="1:7">
      <c r="A71" t="s">
        <v>233</v>
      </c>
    </row>
    <row r="72" spans="1:7">
      <c r="A72" t="s">
        <v>234</v>
      </c>
      <c r="B72" s="1" t="s">
        <v>235</v>
      </c>
    </row>
    <row r="73" spans="1:7">
      <c r="A73" t="s">
        <v>223</v>
      </c>
      <c r="B73" s="1" t="s">
        <v>236</v>
      </c>
    </row>
    <row r="74" spans="1:7">
      <c r="A74" t="s">
        <v>237</v>
      </c>
      <c r="B74" s="1" t="s">
        <v>238</v>
      </c>
    </row>
    <row r="75" spans="1:7">
      <c r="A75" t="s">
        <v>239</v>
      </c>
      <c r="B75" s="1" t="s">
        <v>240</v>
      </c>
    </row>
    <row r="76" spans="1:7">
      <c r="A76" t="s">
        <v>241</v>
      </c>
      <c r="B76" s="1" t="s">
        <v>242</v>
      </c>
    </row>
    <row r="77" spans="1:7">
      <c r="B77" s="1" t="s">
        <v>243</v>
      </c>
    </row>
    <row r="78" spans="1:7">
      <c r="A78" t="s">
        <v>167</v>
      </c>
      <c r="B78" s="1" t="s">
        <v>244</v>
      </c>
    </row>
    <row r="79" spans="1:7">
      <c r="B79" s="1" t="s">
        <v>235</v>
      </c>
    </row>
    <row r="80" spans="1:7">
      <c r="A80" t="s">
        <v>245</v>
      </c>
      <c r="B80" s="1" t="s">
        <v>246</v>
      </c>
    </row>
    <row r="81" spans="1:15">
      <c r="A81" t="s">
        <v>247</v>
      </c>
      <c r="B81" s="1" t="s">
        <v>248</v>
      </c>
    </row>
    <row r="82" spans="1:15">
      <c r="A82" t="s">
        <v>249</v>
      </c>
    </row>
    <row r="84" spans="1:15">
      <c r="A84" t="s">
        <v>250</v>
      </c>
      <c r="B84" s="1" t="s">
        <v>251</v>
      </c>
    </row>
    <row r="85" spans="1:15">
      <c r="A85" t="s">
        <v>167</v>
      </c>
      <c r="B85" s="1" t="s">
        <v>252</v>
      </c>
    </row>
    <row r="86" spans="1:15" ht="15.75">
      <c r="A86" t="s">
        <v>253</v>
      </c>
      <c r="B86" s="1" t="s">
        <v>254</v>
      </c>
      <c r="C86" s="1" t="s">
        <v>204</v>
      </c>
      <c r="E86" t="s">
        <v>209</v>
      </c>
      <c r="H86" s="59" t="s">
        <v>24</v>
      </c>
      <c r="I86" s="21"/>
      <c r="J86" s="20"/>
      <c r="K86" t="s">
        <v>123</v>
      </c>
      <c r="M86" s="1" t="s">
        <v>255</v>
      </c>
      <c r="O86" t="s">
        <v>209</v>
      </c>
    </row>
    <row r="87" spans="1:15">
      <c r="A87" s="1" t="s">
        <v>44</v>
      </c>
    </row>
    <row r="89" spans="1:15" ht="30">
      <c r="A89" t="s">
        <v>256</v>
      </c>
      <c r="B89" s="1" t="s">
        <v>24</v>
      </c>
      <c r="C89" t="s">
        <v>257</v>
      </c>
      <c r="E89" t="s">
        <v>258</v>
      </c>
      <c r="F89" s="57" t="s">
        <v>259</v>
      </c>
    </row>
    <row r="95" spans="1:15">
      <c r="A95" t="s">
        <v>260</v>
      </c>
      <c r="B95" s="1" t="s">
        <v>261</v>
      </c>
    </row>
    <row r="96" spans="1:15">
      <c r="A96" t="s">
        <v>262</v>
      </c>
    </row>
    <row r="97" spans="1:12" ht="15.75">
      <c r="A97" t="s">
        <v>263</v>
      </c>
      <c r="B97" s="21" t="s">
        <v>121</v>
      </c>
      <c r="C97" t="s">
        <v>124</v>
      </c>
      <c r="G97" t="s">
        <v>264</v>
      </c>
      <c r="H97" t="s">
        <v>124</v>
      </c>
    </row>
    <row r="98" spans="1:12" ht="15.75">
      <c r="A98" t="s">
        <v>265</v>
      </c>
      <c r="B98" s="21" t="s">
        <v>121</v>
      </c>
      <c r="C98" t="s">
        <v>124</v>
      </c>
      <c r="F98" t="s">
        <v>266</v>
      </c>
      <c r="G98" t="s">
        <v>267</v>
      </c>
      <c r="I98" s="1" t="s">
        <v>268</v>
      </c>
      <c r="K98" t="s">
        <v>269</v>
      </c>
      <c r="L98" t="s">
        <v>270</v>
      </c>
    </row>
    <row r="99" spans="1:12">
      <c r="A99" t="s">
        <v>271</v>
      </c>
      <c r="B99" s="1" t="s">
        <v>24</v>
      </c>
      <c r="C99" t="s">
        <v>124</v>
      </c>
      <c r="E99" s="1" t="s">
        <v>272</v>
      </c>
      <c r="I99" s="1" t="s">
        <v>268</v>
      </c>
      <c r="K99" t="s">
        <v>273</v>
      </c>
      <c r="L99" t="s">
        <v>274</v>
      </c>
    </row>
  </sheetData>
  <hyperlinks>
    <hyperlink ref="B1" r:id="rId1" xr:uid="{F8305513-F5E4-4F83-8018-7C6339D7FECF}"/>
    <hyperlink ref="B2" r:id="rId2" xr:uid="{601F6814-C643-46D7-A494-0E09C9670C9F}"/>
    <hyperlink ref="B3" r:id="rId3" xr:uid="{EE8CCF4A-5484-4BBF-9875-C8E25E9531F4}"/>
    <hyperlink ref="B4" r:id="rId4" xr:uid="{24DB13A7-1918-44F9-A1CD-04790DB476D4}"/>
    <hyperlink ref="B5" r:id="rId5" xr:uid="{0211A0C6-C6D9-45FE-A78D-8FB5AB3D397C}"/>
    <hyperlink ref="C6" r:id="rId6" xr:uid="{891FEDC2-E9A1-46C9-ABD2-635B49B58D99}"/>
    <hyperlink ref="B6" r:id="rId7" xr:uid="{EEEAE6B3-A1F5-4118-91D1-7A3ABA53365F}"/>
    <hyperlink ref="B7" r:id="rId8" xr:uid="{3AFF7F5D-B0A8-4D5D-8E39-1EE242ABD101}"/>
    <hyperlink ref="C8" r:id="rId9" xr:uid="{1D031578-2A70-4CBE-BB6F-0F4896ED9812}"/>
    <hyperlink ref="B11" r:id="rId10" xr:uid="{8BE4F356-1F3B-42A2-A668-3E0C7D484C96}"/>
    <hyperlink ref="K1" r:id="rId11" xr:uid="{9E68FAC4-82B3-47B6-A9FF-D0A2A2E0E9E5}"/>
    <hyperlink ref="B12" r:id="rId12" xr:uid="{9ADD5A05-AAB8-4719-ADD9-E064798D147B}"/>
    <hyperlink ref="B16" r:id="rId13" xr:uid="{E7940D5F-E6D7-45FC-BEE7-C19DF3FEACFF}"/>
    <hyperlink ref="B15" r:id="rId14" xr:uid="{C2A1B281-E9A6-432E-8A93-B3E7FFDCA626}"/>
    <hyperlink ref="C45" r:id="rId15" display="mailto:Lost@789" xr:uid="{3EACAA2E-BA10-42E2-A905-3CDB28BDFBE5}"/>
    <hyperlink ref="D48" r:id="rId16" xr:uid="{CE4F495A-DCB4-444D-8E1A-DCF4E11135A4}"/>
    <hyperlink ref="K11" r:id="rId17" xr:uid="{88C290DB-E3BD-4BCF-90F9-0BDA7F622EAD}"/>
    <hyperlink ref="K13" r:id="rId18" xr:uid="{643060CB-8D74-4F94-9F75-53F7ADF4251E}"/>
    <hyperlink ref="B69" r:id="rId19" xr:uid="{F26780F9-F3F6-4BF0-8103-DD2725C73E26}"/>
    <hyperlink ref="B68" r:id="rId20" xr:uid="{76043C23-3E09-4B8E-90B5-3BFF8FD5D0D7}"/>
    <hyperlink ref="B81" r:id="rId21" xr:uid="{2B7C79A1-D9F7-4521-A801-62A2CC335FB4}"/>
    <hyperlink ref="B63" r:id="rId22" xr:uid="{70FC45E4-B5DF-4788-B155-0744B0F227F2}"/>
    <hyperlink ref="B70" r:id="rId23" xr:uid="{DA9FED2F-8C30-4BF3-81DF-1A8265B1EABB}"/>
    <hyperlink ref="B56" r:id="rId24" xr:uid="{22A52535-A644-4963-B981-2FB7DD5C046C}"/>
    <hyperlink ref="K9" r:id="rId25" xr:uid="{9709607E-E285-4D8D-9DAB-62317779CEAD}"/>
    <hyperlink ref="B72" r:id="rId26" xr:uid="{B0923FBD-384E-4BD9-B224-DB68547F37FF}"/>
    <hyperlink ref="B73" r:id="rId27" xr:uid="{FFA07E19-D0EB-4CE3-B213-D189F40DD847}"/>
    <hyperlink ref="B74" r:id="rId28" xr:uid="{E26A83B4-0847-4D55-A03C-E4BBF5B9128A}"/>
    <hyperlink ref="B75" r:id="rId29" xr:uid="{E605BE8E-FCC0-433A-A100-E6F5D95518D1}"/>
    <hyperlink ref="B76" r:id="rId30" xr:uid="{065011E8-61FB-4AA2-92F1-ECD129D3EB03}"/>
    <hyperlink ref="B77" r:id="rId31" xr:uid="{2A0973CB-02EB-4822-9F27-FD5CCDBA895B}"/>
    <hyperlink ref="B78" r:id="rId32" xr:uid="{9A37A432-410F-4445-9B44-F9EBA5518943}"/>
    <hyperlink ref="B95" r:id="rId33" xr:uid="{D5DC56C5-3288-435C-B01C-42C4E78A7AFF}"/>
    <hyperlink ref="D58" r:id="rId34" xr:uid="{E3663E6E-7C78-46C1-B498-FD690C9CFDF1}"/>
    <hyperlink ref="B66" r:id="rId35" xr:uid="{FD8FFA48-4B3D-4748-8C5A-8916E549E39A}"/>
    <hyperlink ref="B79" r:id="rId36" xr:uid="{684C3C12-0DE5-406D-BF1C-71C8B807C0E0}"/>
    <hyperlink ref="B84" r:id="rId37" xr:uid="{32D841F1-BDB3-460B-8A8A-426305ACEE7D}"/>
    <hyperlink ref="B85" r:id="rId38" xr:uid="{77B4A7AD-F415-499B-ADB6-8232120CD614}"/>
    <hyperlink ref="B86" r:id="rId39" xr:uid="{CF08595F-918C-42E9-BD73-86CE964368A6}"/>
    <hyperlink ref="C86" r:id="rId40" xr:uid="{71083726-0C84-41DD-B236-2733921F0E7E}"/>
    <hyperlink ref="A87" r:id="rId41" xr:uid="{35305A63-7923-41E1-A28F-098866D43D38}"/>
    <hyperlink ref="B89" r:id="rId42" xr:uid="{CD74FEBD-774A-46F2-882A-2888CA8D43F7}"/>
    <hyperlink ref="B80" r:id="rId43" xr:uid="{47A6DDD7-8909-4E19-BC28-B78CC278D64C}"/>
    <hyperlink ref="H86" r:id="rId44" xr:uid="{24F29D6D-A9B2-4223-9051-C93E4ABBF1D7}"/>
    <hyperlink ref="B67" r:id="rId45" xr:uid="{FE17E3E9-B9C8-4E6E-B3AF-55F5F6D37DAB}"/>
    <hyperlink ref="B99" r:id="rId46" xr:uid="{6790600B-F35B-4741-B911-51974905B2D5}"/>
    <hyperlink ref="E99" r:id="rId47" location="ShowClaims" xr:uid="{E47B8B15-61E7-4046-9A02-B826757BE8A5}"/>
    <hyperlink ref="I98" r:id="rId48" xr:uid="{63627796-9B87-458B-8488-88790EEF3140}"/>
    <hyperlink ref="I99" r:id="rId49" xr:uid="{69D44D59-BA28-419C-B417-9AA078E745A8}"/>
    <hyperlink ref="M86" r:id="rId50" xr:uid="{89BDC46A-DC5D-4F6F-9DA1-78716F71D27A}"/>
  </hyperlinks>
  <pageMargins left="0.7" right="0.7" top="0.75" bottom="0.75" header="0.3" footer="0.3"/>
  <headerFooter>
    <oddFooter>&amp;C_x000D_&amp;1#&amp;"Calibri"&amp;9&amp;K000000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6FA2-E211-4081-B413-E37C51EDCE7A}">
  <dimension ref="A1:O76"/>
  <sheetViews>
    <sheetView topLeftCell="A46" workbookViewId="0">
      <selection activeCell="K76" sqref="K76"/>
    </sheetView>
  </sheetViews>
  <sheetFormatPr defaultRowHeight="15"/>
  <cols>
    <col min="1" max="1" width="10.140625" bestFit="1" customWidth="1"/>
    <col min="2" max="2" width="8.5703125" bestFit="1" customWidth="1"/>
    <col min="3" max="3" width="11.140625" bestFit="1" customWidth="1"/>
    <col min="5" max="5" width="11" bestFit="1" customWidth="1"/>
    <col min="6" max="6" width="15.140625" bestFit="1" customWidth="1"/>
    <col min="7" max="7" width="20.42578125" bestFit="1" customWidth="1"/>
    <col min="8" max="8" width="16" bestFit="1" customWidth="1"/>
    <col min="9" max="9" width="13.42578125" bestFit="1" customWidth="1"/>
    <col min="10" max="10" width="16" bestFit="1" customWidth="1"/>
    <col min="11" max="11" width="11.140625" bestFit="1" customWidth="1"/>
    <col min="12" max="12" width="32.85546875" customWidth="1"/>
    <col min="13" max="13" width="26.42578125" customWidth="1"/>
    <col min="14" max="14" width="29.140625" customWidth="1"/>
    <col min="15" max="15" width="41.42578125" customWidth="1"/>
  </cols>
  <sheetData>
    <row r="1" spans="1:13">
      <c r="A1" s="23" t="s">
        <v>275</v>
      </c>
      <c r="B1" s="23" t="s">
        <v>276</v>
      </c>
      <c r="C1" s="23" t="s">
        <v>277</v>
      </c>
      <c r="D1" s="23" t="s">
        <v>278</v>
      </c>
      <c r="E1" s="24" t="s">
        <v>279</v>
      </c>
      <c r="F1" s="24" t="s">
        <v>280</v>
      </c>
      <c r="G1" s="24" t="s">
        <v>281</v>
      </c>
      <c r="H1" s="24" t="s">
        <v>282</v>
      </c>
      <c r="I1" s="24" t="s">
        <v>283</v>
      </c>
      <c r="J1" s="24" t="s">
        <v>284</v>
      </c>
      <c r="K1" s="24" t="s">
        <v>285</v>
      </c>
      <c r="L1" s="24" t="s">
        <v>286</v>
      </c>
    </row>
    <row r="2" spans="1:13" ht="57.75">
      <c r="A2" t="s">
        <v>287</v>
      </c>
      <c r="B2" s="28">
        <v>92743</v>
      </c>
      <c r="C2" s="9">
        <v>45438</v>
      </c>
      <c r="D2" s="27">
        <v>126</v>
      </c>
      <c r="E2" t="s">
        <v>288</v>
      </c>
      <c r="F2" t="s">
        <v>289</v>
      </c>
      <c r="G2" t="s">
        <v>290</v>
      </c>
      <c r="J2" s="9">
        <v>45739</v>
      </c>
      <c r="L2" s="15" t="s">
        <v>291</v>
      </c>
      <c r="M2" t="s">
        <v>292</v>
      </c>
    </row>
    <row r="3" spans="1:13" ht="72.75">
      <c r="A3" t="s">
        <v>287</v>
      </c>
      <c r="B3">
        <v>91845</v>
      </c>
      <c r="C3" s="9">
        <v>45377</v>
      </c>
      <c r="D3" s="27">
        <v>126</v>
      </c>
      <c r="E3" t="s">
        <v>293</v>
      </c>
      <c r="F3" t="s">
        <v>294</v>
      </c>
      <c r="G3">
        <v>624539628</v>
      </c>
      <c r="I3" t="s">
        <v>295</v>
      </c>
      <c r="K3" s="27">
        <v>9.8699999999999992</v>
      </c>
      <c r="L3" s="15" t="s">
        <v>296</v>
      </c>
      <c r="M3" t="s">
        <v>293</v>
      </c>
    </row>
    <row r="4" spans="1:13" ht="72.75">
      <c r="A4" t="s">
        <v>287</v>
      </c>
      <c r="B4">
        <v>91888</v>
      </c>
      <c r="C4" s="9">
        <v>45377</v>
      </c>
      <c r="D4" s="27">
        <v>126</v>
      </c>
      <c r="E4" t="s">
        <v>293</v>
      </c>
      <c r="F4" t="s">
        <v>294</v>
      </c>
      <c r="G4">
        <v>624539628</v>
      </c>
      <c r="I4" t="s">
        <v>295</v>
      </c>
      <c r="K4" s="27">
        <v>9.8699999999999992</v>
      </c>
      <c r="L4" s="15" t="s">
        <v>297</v>
      </c>
      <c r="M4" t="s">
        <v>293</v>
      </c>
    </row>
    <row r="5" spans="1:13" ht="72.75">
      <c r="A5" t="s">
        <v>287</v>
      </c>
      <c r="B5">
        <v>92484</v>
      </c>
      <c r="C5" s="9">
        <v>45706</v>
      </c>
      <c r="E5" t="s">
        <v>293</v>
      </c>
      <c r="F5" t="s">
        <v>294</v>
      </c>
      <c r="G5">
        <v>639958188</v>
      </c>
      <c r="I5" s="9">
        <v>45734</v>
      </c>
      <c r="J5" s="9">
        <v>45735</v>
      </c>
      <c r="K5" s="27">
        <v>4.46</v>
      </c>
      <c r="L5" s="15" t="s">
        <v>298</v>
      </c>
      <c r="M5" t="s">
        <v>293</v>
      </c>
    </row>
    <row r="6" spans="1:13" ht="72.75">
      <c r="A6" t="s">
        <v>287</v>
      </c>
      <c r="B6">
        <v>92583</v>
      </c>
      <c r="C6" s="9">
        <v>45408</v>
      </c>
      <c r="E6" t="s">
        <v>293</v>
      </c>
      <c r="F6" t="s">
        <v>294</v>
      </c>
      <c r="G6">
        <v>639958188</v>
      </c>
      <c r="H6">
        <v>14.27</v>
      </c>
      <c r="I6" s="9">
        <v>45734</v>
      </c>
      <c r="J6" s="9"/>
      <c r="K6" s="27">
        <v>9.81</v>
      </c>
      <c r="L6" s="15" t="s">
        <v>299</v>
      </c>
      <c r="M6" t="s">
        <v>293</v>
      </c>
    </row>
    <row r="7" spans="1:13" ht="57.75">
      <c r="A7" t="s">
        <v>287</v>
      </c>
      <c r="B7">
        <v>92815</v>
      </c>
      <c r="C7" s="9">
        <v>45432</v>
      </c>
      <c r="E7" t="s">
        <v>293</v>
      </c>
      <c r="F7" t="s">
        <v>294</v>
      </c>
      <c r="G7">
        <v>643892874</v>
      </c>
      <c r="I7" s="9">
        <v>45802</v>
      </c>
      <c r="J7" s="9">
        <v>45803</v>
      </c>
      <c r="K7" s="27">
        <v>12.91</v>
      </c>
      <c r="L7" s="15" t="s">
        <v>300</v>
      </c>
      <c r="M7" t="s">
        <v>293</v>
      </c>
    </row>
    <row r="8" spans="1:13" ht="57.75">
      <c r="A8" t="s">
        <v>287</v>
      </c>
      <c r="B8">
        <v>90290</v>
      </c>
      <c r="C8" s="9">
        <v>45629</v>
      </c>
      <c r="E8" t="s">
        <v>301</v>
      </c>
      <c r="F8" t="s">
        <v>294</v>
      </c>
      <c r="G8">
        <v>596510119</v>
      </c>
      <c r="I8" s="9">
        <v>45652</v>
      </c>
      <c r="J8" s="9">
        <v>45653</v>
      </c>
      <c r="K8" s="27">
        <v>26.51</v>
      </c>
      <c r="L8" s="15" t="s">
        <v>302</v>
      </c>
      <c r="M8" t="s">
        <v>301</v>
      </c>
    </row>
    <row r="9" spans="1:13" ht="57.75">
      <c r="A9" t="s">
        <v>287</v>
      </c>
      <c r="B9">
        <v>92324</v>
      </c>
      <c r="C9" s="9">
        <v>45700</v>
      </c>
      <c r="E9" t="s">
        <v>301</v>
      </c>
      <c r="F9" t="s">
        <v>294</v>
      </c>
      <c r="G9">
        <v>635591291</v>
      </c>
      <c r="I9" s="9">
        <v>45728</v>
      </c>
      <c r="K9" s="27">
        <v>25.87</v>
      </c>
      <c r="L9" s="15" t="s">
        <v>303</v>
      </c>
      <c r="M9" t="s">
        <v>301</v>
      </c>
    </row>
    <row r="10" spans="1:13" ht="57.75">
      <c r="A10" t="s">
        <v>287</v>
      </c>
      <c r="B10">
        <v>92325</v>
      </c>
      <c r="C10" s="9">
        <v>45700</v>
      </c>
      <c r="E10" t="s">
        <v>301</v>
      </c>
      <c r="F10" t="s">
        <v>294</v>
      </c>
      <c r="G10">
        <v>635354973</v>
      </c>
      <c r="I10" s="9">
        <v>45728</v>
      </c>
      <c r="K10" s="27">
        <v>18.32</v>
      </c>
      <c r="L10" s="15" t="s">
        <v>304</v>
      </c>
      <c r="M10" t="s">
        <v>301</v>
      </c>
    </row>
    <row r="11" spans="1:13" ht="57.75">
      <c r="A11" t="s">
        <v>287</v>
      </c>
      <c r="B11">
        <v>84108</v>
      </c>
      <c r="C11" s="9">
        <v>45414</v>
      </c>
      <c r="E11" t="s">
        <v>305</v>
      </c>
      <c r="F11" t="s">
        <v>289</v>
      </c>
      <c r="G11" s="29">
        <v>824164000303613</v>
      </c>
      <c r="I11" s="9">
        <v>45460</v>
      </c>
      <c r="J11" s="9">
        <v>45460</v>
      </c>
      <c r="K11" s="27">
        <v>26.51</v>
      </c>
      <c r="L11" s="15" t="s">
        <v>302</v>
      </c>
      <c r="M11" t="s">
        <v>305</v>
      </c>
    </row>
    <row r="12" spans="1:13" ht="57.75">
      <c r="A12" t="s">
        <v>287</v>
      </c>
      <c r="B12">
        <v>90760</v>
      </c>
      <c r="C12" s="9">
        <v>45349</v>
      </c>
      <c r="E12" t="s">
        <v>306</v>
      </c>
      <c r="F12" t="s">
        <v>294</v>
      </c>
      <c r="G12">
        <v>55673011</v>
      </c>
      <c r="I12" s="9">
        <v>45680</v>
      </c>
      <c r="K12" s="27">
        <v>12.7</v>
      </c>
      <c r="L12" s="15" t="s">
        <v>307</v>
      </c>
      <c r="M12" t="s">
        <v>306</v>
      </c>
    </row>
    <row r="13" spans="1:13" ht="57.75">
      <c r="A13" t="s">
        <v>287</v>
      </c>
      <c r="B13">
        <v>91120</v>
      </c>
      <c r="C13" s="9">
        <v>45378</v>
      </c>
      <c r="E13" t="s">
        <v>306</v>
      </c>
      <c r="F13" t="s">
        <v>294</v>
      </c>
      <c r="G13">
        <v>6544408</v>
      </c>
      <c r="I13" s="9">
        <v>45674</v>
      </c>
      <c r="K13" s="27">
        <v>12.91</v>
      </c>
      <c r="L13" s="15" t="s">
        <v>291</v>
      </c>
      <c r="M13" t="s">
        <v>306</v>
      </c>
    </row>
    <row r="17" spans="1:13">
      <c r="A17" s="23" t="s">
        <v>275</v>
      </c>
      <c r="B17" s="23" t="s">
        <v>276</v>
      </c>
      <c r="C17" s="23" t="s">
        <v>277</v>
      </c>
      <c r="D17" s="23" t="s">
        <v>278</v>
      </c>
      <c r="E17" s="24" t="s">
        <v>279</v>
      </c>
      <c r="F17" s="24" t="s">
        <v>280</v>
      </c>
      <c r="G17" s="24" t="s">
        <v>281</v>
      </c>
      <c r="H17" s="24" t="s">
        <v>282</v>
      </c>
      <c r="I17" s="24" t="s">
        <v>283</v>
      </c>
      <c r="J17" s="24" t="s">
        <v>284</v>
      </c>
      <c r="K17" s="24" t="s">
        <v>285</v>
      </c>
      <c r="L17" s="24" t="s">
        <v>286</v>
      </c>
      <c r="M17" t="s">
        <v>308</v>
      </c>
    </row>
    <row r="18" spans="1:13" ht="57.75">
      <c r="A18" t="s">
        <v>309</v>
      </c>
      <c r="B18">
        <v>58910</v>
      </c>
      <c r="C18" s="9">
        <v>45721</v>
      </c>
      <c r="D18" s="27">
        <v>21</v>
      </c>
      <c r="E18" t="s">
        <v>310</v>
      </c>
      <c r="F18" t="s">
        <v>294</v>
      </c>
      <c r="G18" s="38">
        <v>11239774244</v>
      </c>
      <c r="H18" s="39" t="s">
        <v>311</v>
      </c>
      <c r="I18" s="9">
        <v>45771</v>
      </c>
      <c r="J18" s="40"/>
      <c r="K18" s="41">
        <v>2.58</v>
      </c>
      <c r="L18" s="15" t="s">
        <v>312</v>
      </c>
    </row>
    <row r="19" spans="1:13" ht="57.75">
      <c r="A19" t="s">
        <v>309</v>
      </c>
      <c r="B19">
        <v>58993</v>
      </c>
      <c r="C19" s="9">
        <v>45755</v>
      </c>
      <c r="D19" s="27">
        <v>316</v>
      </c>
      <c r="E19" t="s">
        <v>310</v>
      </c>
      <c r="F19" t="s">
        <v>294</v>
      </c>
      <c r="G19">
        <v>11262280293</v>
      </c>
      <c r="H19" s="39" t="s">
        <v>313</v>
      </c>
      <c r="I19" s="9">
        <v>45813</v>
      </c>
      <c r="K19" s="27">
        <v>15.09</v>
      </c>
      <c r="L19" s="15" t="s">
        <v>314</v>
      </c>
    </row>
    <row r="20" spans="1:13" ht="57.75">
      <c r="A20" t="s">
        <v>309</v>
      </c>
      <c r="B20">
        <v>58992</v>
      </c>
      <c r="C20" s="9">
        <v>45768</v>
      </c>
      <c r="D20" s="27">
        <v>316</v>
      </c>
      <c r="E20" t="s">
        <v>310</v>
      </c>
      <c r="F20" t="s">
        <v>294</v>
      </c>
      <c r="G20">
        <v>11262280293</v>
      </c>
      <c r="H20" s="39" t="s">
        <v>313</v>
      </c>
      <c r="I20" s="9">
        <v>45813</v>
      </c>
      <c r="K20" s="27">
        <v>15.09</v>
      </c>
      <c r="L20" s="15" t="s">
        <v>314</v>
      </c>
    </row>
    <row r="21" spans="1:13" ht="57.75">
      <c r="A21" t="s">
        <v>309</v>
      </c>
      <c r="B21">
        <v>58970</v>
      </c>
      <c r="C21" s="9">
        <v>45741</v>
      </c>
      <c r="D21" s="27">
        <v>316</v>
      </c>
      <c r="E21" t="s">
        <v>310</v>
      </c>
      <c r="F21" t="s">
        <v>294</v>
      </c>
      <c r="G21">
        <v>11262280293</v>
      </c>
      <c r="H21" s="39" t="s">
        <v>313</v>
      </c>
      <c r="I21" s="9">
        <v>45813</v>
      </c>
      <c r="K21" s="27">
        <v>15.09</v>
      </c>
      <c r="L21" s="15" t="s">
        <v>314</v>
      </c>
    </row>
    <row r="22" spans="1:13" ht="57.75">
      <c r="A22" t="s">
        <v>309</v>
      </c>
      <c r="B22">
        <v>58968</v>
      </c>
      <c r="C22" s="9">
        <v>45734</v>
      </c>
      <c r="D22" s="27">
        <v>316</v>
      </c>
      <c r="E22" t="s">
        <v>310</v>
      </c>
      <c r="F22" t="s">
        <v>294</v>
      </c>
      <c r="G22">
        <v>11262280293</v>
      </c>
      <c r="H22" s="39" t="s">
        <v>313</v>
      </c>
      <c r="I22" s="9">
        <v>45813</v>
      </c>
      <c r="K22" s="27">
        <v>15.09</v>
      </c>
      <c r="L22" s="15" t="s">
        <v>314</v>
      </c>
    </row>
    <row r="23" spans="1:13" ht="57.75">
      <c r="A23" t="s">
        <v>309</v>
      </c>
      <c r="B23">
        <v>58913</v>
      </c>
      <c r="C23" s="9">
        <v>45713</v>
      </c>
      <c r="D23" s="27">
        <v>191</v>
      </c>
      <c r="E23" t="s">
        <v>310</v>
      </c>
      <c r="F23" t="s">
        <v>294</v>
      </c>
      <c r="G23">
        <v>11239774244</v>
      </c>
      <c r="H23" s="42">
        <v>720.74</v>
      </c>
      <c r="I23" s="9">
        <v>45771</v>
      </c>
      <c r="K23" s="27">
        <v>23.55</v>
      </c>
      <c r="L23" s="15" t="s">
        <v>315</v>
      </c>
    </row>
    <row r="24" spans="1:13" ht="57.75">
      <c r="A24" t="s">
        <v>309</v>
      </c>
      <c r="B24">
        <v>58844</v>
      </c>
      <c r="C24" s="9">
        <v>45673</v>
      </c>
      <c r="D24" s="27">
        <v>191</v>
      </c>
      <c r="E24" t="s">
        <v>310</v>
      </c>
      <c r="F24" t="s">
        <v>294</v>
      </c>
      <c r="G24" s="38">
        <v>11217564106</v>
      </c>
      <c r="H24" s="42">
        <v>1663.25</v>
      </c>
      <c r="I24" s="40">
        <v>45729</v>
      </c>
      <c r="J24" s="39"/>
      <c r="K24" s="27">
        <v>23.55</v>
      </c>
      <c r="L24" s="15" t="s">
        <v>315</v>
      </c>
    </row>
    <row r="27" spans="1:13">
      <c r="A27" s="9">
        <v>45834</v>
      </c>
    </row>
    <row r="28" spans="1:13">
      <c r="A28" s="23" t="s">
        <v>275</v>
      </c>
      <c r="B28" s="23" t="s">
        <v>276</v>
      </c>
      <c r="C28" s="23" t="s">
        <v>277</v>
      </c>
      <c r="D28" s="23" t="s">
        <v>278</v>
      </c>
      <c r="E28" s="24" t="s">
        <v>279</v>
      </c>
      <c r="F28" s="24" t="s">
        <v>280</v>
      </c>
      <c r="G28" s="24" t="s">
        <v>281</v>
      </c>
      <c r="H28" s="24" t="s">
        <v>282</v>
      </c>
      <c r="I28" s="24" t="s">
        <v>283</v>
      </c>
      <c r="J28" s="24" t="s">
        <v>284</v>
      </c>
      <c r="K28" s="24" t="s">
        <v>285</v>
      </c>
      <c r="L28" s="24" t="s">
        <v>286</v>
      </c>
      <c r="M28" t="s">
        <v>308</v>
      </c>
    </row>
    <row r="29" spans="1:13" ht="57.75">
      <c r="A29" t="s">
        <v>316</v>
      </c>
      <c r="B29" s="43">
        <v>172195</v>
      </c>
      <c r="C29" s="9">
        <v>45779</v>
      </c>
      <c r="D29" s="27">
        <v>173</v>
      </c>
      <c r="E29" t="s">
        <v>310</v>
      </c>
      <c r="F29" t="s">
        <v>294</v>
      </c>
      <c r="G29">
        <v>11269603732</v>
      </c>
      <c r="H29" s="27">
        <v>42.33</v>
      </c>
      <c r="I29" s="9">
        <v>45828</v>
      </c>
      <c r="K29" s="27">
        <v>16.93</v>
      </c>
      <c r="L29" s="15" t="s">
        <v>317</v>
      </c>
    </row>
    <row r="30" spans="1:13" ht="57.75">
      <c r="A30" t="s">
        <v>316</v>
      </c>
      <c r="B30">
        <v>172353</v>
      </c>
      <c r="C30" s="9">
        <v>45789</v>
      </c>
      <c r="D30" s="27">
        <v>254</v>
      </c>
      <c r="E30" t="s">
        <v>310</v>
      </c>
      <c r="F30" t="s">
        <v>294</v>
      </c>
      <c r="G30">
        <v>11272938877</v>
      </c>
      <c r="H30" s="27">
        <v>32.33</v>
      </c>
      <c r="I30" s="9">
        <v>45834</v>
      </c>
      <c r="K30" s="27">
        <v>18.54</v>
      </c>
      <c r="L30" s="15" t="s">
        <v>318</v>
      </c>
    </row>
    <row r="31" spans="1:13" ht="57.75">
      <c r="A31" t="s">
        <v>316</v>
      </c>
      <c r="B31">
        <v>172236</v>
      </c>
      <c r="C31" s="9">
        <v>45783</v>
      </c>
      <c r="D31" s="27">
        <v>191.01</v>
      </c>
      <c r="E31" t="s">
        <v>310</v>
      </c>
      <c r="F31" t="s">
        <v>294</v>
      </c>
      <c r="G31">
        <v>11269603732</v>
      </c>
      <c r="H31" s="27">
        <v>42.33</v>
      </c>
      <c r="I31" s="9">
        <v>45828</v>
      </c>
      <c r="K31" s="27">
        <v>16.93</v>
      </c>
      <c r="L31" s="15" t="s">
        <v>319</v>
      </c>
    </row>
    <row r="32" spans="1:13" ht="57.75">
      <c r="A32" t="s">
        <v>316</v>
      </c>
      <c r="B32" s="44">
        <v>172294</v>
      </c>
      <c r="C32" s="9">
        <v>45785</v>
      </c>
      <c r="D32" s="27">
        <v>230</v>
      </c>
      <c r="E32" t="s">
        <v>310</v>
      </c>
      <c r="F32" t="s">
        <v>294</v>
      </c>
      <c r="G32">
        <v>11272248139</v>
      </c>
      <c r="H32" s="27">
        <v>10.34</v>
      </c>
      <c r="I32" s="9">
        <v>45833</v>
      </c>
      <c r="K32" s="27">
        <v>10.34</v>
      </c>
      <c r="L32" s="15" t="s">
        <v>320</v>
      </c>
    </row>
    <row r="33" spans="1:15" ht="57.75">
      <c r="A33" t="s">
        <v>316</v>
      </c>
      <c r="B33">
        <v>169561</v>
      </c>
      <c r="C33" s="9">
        <v>45649</v>
      </c>
      <c r="D33" s="27">
        <v>173.02</v>
      </c>
      <c r="E33" t="s">
        <v>321</v>
      </c>
      <c r="F33" t="s">
        <v>294</v>
      </c>
      <c r="G33">
        <v>3267823</v>
      </c>
      <c r="H33" s="27">
        <v>17.3</v>
      </c>
      <c r="I33" s="9">
        <v>45684</v>
      </c>
      <c r="K33" s="27">
        <v>17.3</v>
      </c>
      <c r="L33" s="15" t="s">
        <v>322</v>
      </c>
    </row>
    <row r="34" spans="1:15" ht="57.75">
      <c r="A34" t="s">
        <v>316</v>
      </c>
      <c r="B34">
        <v>172269</v>
      </c>
      <c r="C34" s="9">
        <v>45784</v>
      </c>
      <c r="D34" s="27">
        <v>183</v>
      </c>
      <c r="E34" t="s">
        <v>310</v>
      </c>
      <c r="F34" t="s">
        <v>294</v>
      </c>
      <c r="G34">
        <v>11270329123</v>
      </c>
      <c r="H34" s="27">
        <v>16.93</v>
      </c>
      <c r="I34" s="9">
        <v>45831</v>
      </c>
      <c r="K34" s="27">
        <v>16.93</v>
      </c>
      <c r="L34" s="15" t="s">
        <v>319</v>
      </c>
    </row>
    <row r="36" spans="1:15">
      <c r="A36" s="9">
        <v>45839</v>
      </c>
    </row>
    <row r="37" spans="1:15">
      <c r="A37" s="23" t="s">
        <v>275</v>
      </c>
      <c r="B37" s="23" t="s">
        <v>276</v>
      </c>
      <c r="C37" s="23" t="s">
        <v>277</v>
      </c>
      <c r="D37" s="23" t="s">
        <v>278</v>
      </c>
      <c r="E37" s="24" t="s">
        <v>279</v>
      </c>
      <c r="F37" s="24" t="s">
        <v>280</v>
      </c>
      <c r="G37" s="24" t="s">
        <v>281</v>
      </c>
      <c r="H37" s="24" t="s">
        <v>282</v>
      </c>
      <c r="I37" s="24" t="s">
        <v>283</v>
      </c>
      <c r="J37" s="24" t="s">
        <v>284</v>
      </c>
      <c r="K37" s="24" t="s">
        <v>285</v>
      </c>
      <c r="L37" s="24" t="s">
        <v>286</v>
      </c>
    </row>
    <row r="38" spans="1:15" ht="57.75">
      <c r="A38" t="s">
        <v>287</v>
      </c>
      <c r="B38">
        <v>89472</v>
      </c>
      <c r="C38" s="9">
        <v>45600</v>
      </c>
      <c r="D38" s="27">
        <v>259</v>
      </c>
      <c r="E38" t="s">
        <v>310</v>
      </c>
      <c r="F38" t="s">
        <v>294</v>
      </c>
      <c r="G38">
        <v>1199103433</v>
      </c>
      <c r="H38" s="27">
        <v>193.07</v>
      </c>
      <c r="I38" s="9">
        <v>45819</v>
      </c>
      <c r="K38" s="27">
        <v>26.51</v>
      </c>
      <c r="L38" s="15" t="s">
        <v>323</v>
      </c>
    </row>
    <row r="39" spans="1:15" ht="57.75">
      <c r="A39" t="s">
        <v>287</v>
      </c>
      <c r="B39">
        <v>94738</v>
      </c>
      <c r="C39" s="9">
        <v>45797</v>
      </c>
      <c r="D39" s="27">
        <v>259</v>
      </c>
      <c r="E39" t="s">
        <v>310</v>
      </c>
      <c r="F39" t="s">
        <v>294</v>
      </c>
      <c r="G39">
        <v>1199103433</v>
      </c>
      <c r="H39" s="27">
        <v>193.07</v>
      </c>
      <c r="I39" s="9">
        <v>45819</v>
      </c>
      <c r="K39" s="27">
        <v>25.87</v>
      </c>
      <c r="L39" s="15" t="s">
        <v>324</v>
      </c>
    </row>
    <row r="40" spans="1:15" ht="57.75">
      <c r="A40" t="s">
        <v>287</v>
      </c>
      <c r="B40">
        <v>94942</v>
      </c>
      <c r="C40" s="9">
        <v>45501</v>
      </c>
      <c r="D40" s="27">
        <v>126</v>
      </c>
      <c r="E40" t="s">
        <v>310</v>
      </c>
      <c r="F40" t="s">
        <v>294</v>
      </c>
      <c r="G40">
        <v>1199152961</v>
      </c>
      <c r="H40" s="27">
        <v>1479.07</v>
      </c>
      <c r="I40" s="9">
        <v>45831</v>
      </c>
      <c r="K40" s="27">
        <v>12.91</v>
      </c>
      <c r="L40" s="15" t="s">
        <v>325</v>
      </c>
    </row>
    <row r="41" spans="1:15" ht="57.75">
      <c r="A41" t="s">
        <v>287</v>
      </c>
      <c r="B41">
        <v>95012</v>
      </c>
      <c r="C41" s="9">
        <v>45531</v>
      </c>
      <c r="D41" s="27">
        <v>126</v>
      </c>
      <c r="E41" t="s">
        <v>310</v>
      </c>
      <c r="F41" t="s">
        <v>294</v>
      </c>
      <c r="G41">
        <v>1199152961</v>
      </c>
      <c r="H41" s="27">
        <v>1479.07</v>
      </c>
      <c r="I41" s="9">
        <v>45831</v>
      </c>
      <c r="K41" s="27">
        <v>12.91</v>
      </c>
      <c r="L41" s="15" t="s">
        <v>325</v>
      </c>
    </row>
    <row r="42" spans="1:15" ht="57.75">
      <c r="A42" t="s">
        <v>287</v>
      </c>
      <c r="B42">
        <v>95138</v>
      </c>
      <c r="C42" s="9">
        <v>45810</v>
      </c>
      <c r="D42" s="27">
        <v>259</v>
      </c>
      <c r="E42" t="s">
        <v>310</v>
      </c>
      <c r="F42" t="s">
        <v>294</v>
      </c>
      <c r="G42">
        <v>1199152961</v>
      </c>
      <c r="H42" s="27">
        <v>1479.07</v>
      </c>
      <c r="I42" s="9">
        <v>45831</v>
      </c>
      <c r="K42" s="27">
        <v>25.87</v>
      </c>
      <c r="L42" s="15" t="s">
        <v>324</v>
      </c>
    </row>
    <row r="43" spans="1:15" ht="57.75">
      <c r="A43" t="s">
        <v>287</v>
      </c>
      <c r="B43">
        <v>94781</v>
      </c>
      <c r="C43" s="9">
        <v>45798</v>
      </c>
      <c r="D43" s="27">
        <v>116</v>
      </c>
      <c r="E43" t="s">
        <v>310</v>
      </c>
      <c r="F43" t="s">
        <v>294</v>
      </c>
      <c r="G43">
        <v>1199103433</v>
      </c>
      <c r="H43" s="27">
        <v>193.07</v>
      </c>
      <c r="I43" s="9">
        <v>45819</v>
      </c>
      <c r="K43" s="27">
        <v>11.49</v>
      </c>
      <c r="L43" s="15" t="s">
        <v>326</v>
      </c>
    </row>
    <row r="47" spans="1:15">
      <c r="A47" s="9">
        <v>45840</v>
      </c>
    </row>
    <row r="48" spans="1:15">
      <c r="A48" s="23" t="s">
        <v>275</v>
      </c>
      <c r="B48" s="23" t="s">
        <v>276</v>
      </c>
      <c r="C48" s="23" t="s">
        <v>277</v>
      </c>
      <c r="D48" s="23" t="s">
        <v>278</v>
      </c>
      <c r="E48" s="24" t="s">
        <v>279</v>
      </c>
      <c r="F48" s="24" t="s">
        <v>280</v>
      </c>
      <c r="G48" s="24" t="s">
        <v>281</v>
      </c>
      <c r="H48" s="24" t="s">
        <v>282</v>
      </c>
      <c r="I48" s="24" t="s">
        <v>283</v>
      </c>
      <c r="J48" s="24" t="s">
        <v>284</v>
      </c>
      <c r="K48" s="24" t="s">
        <v>285</v>
      </c>
      <c r="L48" s="24" t="s">
        <v>286</v>
      </c>
      <c r="M48" s="24" t="s">
        <v>327</v>
      </c>
      <c r="N48" s="24" t="s">
        <v>328</v>
      </c>
      <c r="O48" s="24" t="s">
        <v>329</v>
      </c>
    </row>
    <row r="49" spans="1:15" ht="87">
      <c r="A49" t="s">
        <v>330</v>
      </c>
      <c r="B49">
        <v>20740</v>
      </c>
      <c r="C49" s="9">
        <v>44692</v>
      </c>
      <c r="D49" s="27">
        <v>765</v>
      </c>
      <c r="E49" t="s">
        <v>331</v>
      </c>
      <c r="F49" t="s">
        <v>332</v>
      </c>
      <c r="G49">
        <v>1000250825</v>
      </c>
      <c r="H49" s="27">
        <v>273.48</v>
      </c>
      <c r="I49" s="9">
        <v>44718</v>
      </c>
      <c r="J49" s="9">
        <v>44737</v>
      </c>
      <c r="K49" s="27">
        <v>273.48</v>
      </c>
      <c r="L49" s="15" t="s">
        <v>333</v>
      </c>
      <c r="M49" s="15" t="s">
        <v>334</v>
      </c>
      <c r="N49" s="15" t="s">
        <v>335</v>
      </c>
      <c r="O49" s="15" t="s">
        <v>336</v>
      </c>
    </row>
    <row r="52" spans="1:15">
      <c r="A52" s="9">
        <v>45852</v>
      </c>
    </row>
    <row r="53" spans="1:15" ht="57.75">
      <c r="A53" t="s">
        <v>309</v>
      </c>
      <c r="B53">
        <v>58626</v>
      </c>
      <c r="C53" s="9">
        <v>45581</v>
      </c>
      <c r="D53" s="27">
        <v>177</v>
      </c>
      <c r="E53" t="s">
        <v>310</v>
      </c>
      <c r="F53" t="s">
        <v>294</v>
      </c>
      <c r="G53" s="38">
        <v>11255159366</v>
      </c>
      <c r="H53" s="27">
        <v>175.31</v>
      </c>
      <c r="I53" s="9">
        <v>45799</v>
      </c>
      <c r="K53" s="27">
        <v>2.65</v>
      </c>
      <c r="L53" s="15" t="s">
        <v>337</v>
      </c>
    </row>
    <row r="54" spans="1:15" ht="72.75">
      <c r="A54" t="s">
        <v>309</v>
      </c>
      <c r="B54">
        <v>58634</v>
      </c>
      <c r="C54" s="9">
        <v>45582</v>
      </c>
      <c r="D54" s="27">
        <v>131</v>
      </c>
      <c r="E54" t="s">
        <v>310</v>
      </c>
      <c r="F54" t="s">
        <v>294</v>
      </c>
      <c r="G54">
        <v>11236049936</v>
      </c>
      <c r="H54" s="27">
        <v>692.85</v>
      </c>
      <c r="I54" s="9">
        <v>45764</v>
      </c>
      <c r="K54" s="27">
        <v>2.65</v>
      </c>
      <c r="L54" s="15" t="s">
        <v>338</v>
      </c>
    </row>
    <row r="55" spans="1:15" ht="72.75">
      <c r="A55" t="s">
        <v>309</v>
      </c>
      <c r="B55">
        <v>58627</v>
      </c>
      <c r="C55" s="9">
        <v>45581</v>
      </c>
      <c r="D55" s="27">
        <v>131</v>
      </c>
      <c r="E55" t="s">
        <v>310</v>
      </c>
      <c r="F55" t="s">
        <v>294</v>
      </c>
      <c r="G55">
        <v>11236049936</v>
      </c>
      <c r="H55" s="27">
        <v>692.85</v>
      </c>
      <c r="I55" s="9">
        <v>45764</v>
      </c>
      <c r="K55" s="27">
        <v>2.65</v>
      </c>
      <c r="L55" s="15" t="s">
        <v>338</v>
      </c>
    </row>
    <row r="59" spans="1:15">
      <c r="A59" s="9">
        <v>45866</v>
      </c>
    </row>
    <row r="60" spans="1:15">
      <c r="A60" s="23" t="s">
        <v>275</v>
      </c>
      <c r="B60" s="23" t="s">
        <v>276</v>
      </c>
      <c r="C60" s="23" t="s">
        <v>277</v>
      </c>
      <c r="D60" s="23" t="s">
        <v>278</v>
      </c>
      <c r="E60" s="24" t="s">
        <v>279</v>
      </c>
      <c r="F60" s="24" t="s">
        <v>280</v>
      </c>
      <c r="G60" s="24" t="s">
        <v>281</v>
      </c>
      <c r="H60" s="24" t="s">
        <v>282</v>
      </c>
      <c r="I60" s="24" t="s">
        <v>283</v>
      </c>
      <c r="J60" s="24" t="s">
        <v>284</v>
      </c>
      <c r="K60" s="24" t="s">
        <v>285</v>
      </c>
      <c r="L60" s="24" t="s">
        <v>286</v>
      </c>
      <c r="M60" s="24" t="s">
        <v>327</v>
      </c>
    </row>
    <row r="61" spans="1:15" ht="57.75">
      <c r="A61" t="s">
        <v>287</v>
      </c>
      <c r="B61" s="54">
        <v>95162</v>
      </c>
      <c r="C61" s="54" t="s">
        <v>339</v>
      </c>
      <c r="D61" s="55">
        <v>259</v>
      </c>
      <c r="E61" t="s">
        <v>310</v>
      </c>
      <c r="F61" t="s">
        <v>332</v>
      </c>
      <c r="G61">
        <v>1199223791</v>
      </c>
      <c r="H61" s="27">
        <v>125.8</v>
      </c>
      <c r="I61" s="9">
        <v>45848</v>
      </c>
      <c r="J61" s="9">
        <v>45855</v>
      </c>
      <c r="K61" s="55">
        <v>25.87</v>
      </c>
      <c r="L61" s="15" t="s">
        <v>324</v>
      </c>
      <c r="N61" t="s">
        <v>340</v>
      </c>
    </row>
    <row r="62" spans="1:15" ht="57.75">
      <c r="A62" t="s">
        <v>287</v>
      </c>
      <c r="B62" s="54">
        <v>95236</v>
      </c>
      <c r="C62" s="54" t="s">
        <v>341</v>
      </c>
      <c r="D62" s="55">
        <v>126</v>
      </c>
      <c r="E62" t="s">
        <v>310</v>
      </c>
      <c r="F62" t="s">
        <v>332</v>
      </c>
      <c r="G62">
        <v>1199223791</v>
      </c>
      <c r="H62" s="27">
        <v>125.8</v>
      </c>
      <c r="I62" s="9">
        <v>45848</v>
      </c>
      <c r="J62" s="9">
        <v>45855</v>
      </c>
      <c r="K62" s="55">
        <v>12.91</v>
      </c>
      <c r="L62" s="15" t="s">
        <v>342</v>
      </c>
      <c r="N62" t="s">
        <v>343</v>
      </c>
    </row>
    <row r="63" spans="1:15" ht="72.75">
      <c r="A63" t="s">
        <v>287</v>
      </c>
      <c r="B63" s="54">
        <v>95528</v>
      </c>
      <c r="C63" s="54" t="s">
        <v>344</v>
      </c>
      <c r="D63" s="55">
        <v>362</v>
      </c>
      <c r="E63" t="s">
        <v>310</v>
      </c>
      <c r="F63" t="s">
        <v>332</v>
      </c>
      <c r="G63">
        <v>1199223791</v>
      </c>
      <c r="H63" s="27">
        <v>125.8</v>
      </c>
      <c r="I63" s="9">
        <v>45848</v>
      </c>
      <c r="J63" s="9">
        <v>45855</v>
      </c>
      <c r="K63" s="55">
        <v>36.24</v>
      </c>
      <c r="L63" s="15" t="s">
        <v>345</v>
      </c>
      <c r="N63" t="s">
        <v>346</v>
      </c>
    </row>
    <row r="64" spans="1:15" ht="57.75">
      <c r="A64" t="s">
        <v>287</v>
      </c>
      <c r="B64" s="54">
        <v>95538</v>
      </c>
      <c r="C64" s="54" t="s">
        <v>347</v>
      </c>
      <c r="D64" s="55">
        <v>259</v>
      </c>
      <c r="E64" t="s">
        <v>310</v>
      </c>
      <c r="F64" t="s">
        <v>332</v>
      </c>
      <c r="G64">
        <v>1199223791</v>
      </c>
      <c r="H64" s="27">
        <v>125.8</v>
      </c>
      <c r="I64" s="9">
        <v>45848</v>
      </c>
      <c r="J64" s="9">
        <v>45855</v>
      </c>
      <c r="K64" s="55">
        <v>25.87</v>
      </c>
      <c r="L64" s="15" t="s">
        <v>348</v>
      </c>
      <c r="N64" t="s">
        <v>349</v>
      </c>
    </row>
    <row r="65" spans="1:14" ht="57.75">
      <c r="A65" t="s">
        <v>287</v>
      </c>
      <c r="B65" s="54">
        <v>95525</v>
      </c>
      <c r="C65" s="54" t="s">
        <v>350</v>
      </c>
      <c r="D65" s="55">
        <v>259</v>
      </c>
      <c r="E65" t="s">
        <v>310</v>
      </c>
      <c r="F65" t="s">
        <v>332</v>
      </c>
      <c r="G65">
        <v>1199223791</v>
      </c>
      <c r="H65" s="27">
        <v>125.8</v>
      </c>
      <c r="I65" s="9">
        <v>45848</v>
      </c>
      <c r="J65" s="9">
        <v>45855</v>
      </c>
      <c r="K65" s="55">
        <v>25.87</v>
      </c>
      <c r="L65" s="15" t="s">
        <v>351</v>
      </c>
      <c r="N65" t="s">
        <v>352</v>
      </c>
    </row>
    <row r="68" spans="1:14">
      <c r="A68" s="9">
        <v>45873</v>
      </c>
    </row>
    <row r="69" spans="1:14">
      <c r="A69" s="23" t="s">
        <v>275</v>
      </c>
      <c r="B69" s="23" t="s">
        <v>276</v>
      </c>
      <c r="C69" s="23" t="s">
        <v>277</v>
      </c>
      <c r="D69" s="23" t="s">
        <v>278</v>
      </c>
      <c r="E69" s="24" t="s">
        <v>279</v>
      </c>
      <c r="F69" s="24" t="s">
        <v>280</v>
      </c>
      <c r="G69" s="24" t="s">
        <v>281</v>
      </c>
      <c r="H69" s="24" t="s">
        <v>282</v>
      </c>
      <c r="I69" s="24" t="s">
        <v>283</v>
      </c>
      <c r="J69" s="24" t="s">
        <v>284</v>
      </c>
      <c r="K69" s="24" t="s">
        <v>285</v>
      </c>
      <c r="L69" s="24" t="s">
        <v>286</v>
      </c>
      <c r="M69" s="24" t="s">
        <v>327</v>
      </c>
      <c r="N69" s="24" t="s">
        <v>328</v>
      </c>
    </row>
    <row r="70" spans="1:14" ht="57.75">
      <c r="A70" t="s">
        <v>353</v>
      </c>
      <c r="B70">
        <v>422334</v>
      </c>
      <c r="C70" s="9">
        <v>44964</v>
      </c>
      <c r="D70" s="53">
        <v>696</v>
      </c>
      <c r="E70" t="s">
        <v>354</v>
      </c>
      <c r="F70" t="s">
        <v>294</v>
      </c>
      <c r="G70">
        <v>11444932</v>
      </c>
      <c r="H70" s="27">
        <v>2910.96</v>
      </c>
      <c r="I70" s="9">
        <v>45161</v>
      </c>
      <c r="K70" s="27">
        <v>8.2100000000000009</v>
      </c>
      <c r="L70" s="15" t="s">
        <v>355</v>
      </c>
      <c r="M70" s="15" t="s">
        <v>356</v>
      </c>
      <c r="N70" s="15" t="s">
        <v>357</v>
      </c>
    </row>
    <row r="71" spans="1:14" ht="57.75">
      <c r="A71" t="s">
        <v>353</v>
      </c>
      <c r="B71">
        <v>424627</v>
      </c>
      <c r="C71" s="9">
        <v>44991</v>
      </c>
      <c r="D71" s="27">
        <v>523</v>
      </c>
      <c r="E71" t="s">
        <v>354</v>
      </c>
      <c r="F71" t="s">
        <v>294</v>
      </c>
      <c r="G71">
        <v>11342871</v>
      </c>
      <c r="H71" s="27">
        <v>4019.36</v>
      </c>
      <c r="I71" s="9">
        <v>45070</v>
      </c>
      <c r="K71" s="27">
        <v>5.7</v>
      </c>
      <c r="L71" s="15" t="s">
        <v>358</v>
      </c>
    </row>
    <row r="72" spans="1:14">
      <c r="C72" s="9"/>
      <c r="D72" s="53"/>
      <c r="I72" s="9"/>
    </row>
    <row r="74" spans="1:14">
      <c r="A74" s="9">
        <v>45902</v>
      </c>
    </row>
    <row r="75" spans="1:14">
      <c r="A75" s="23" t="s">
        <v>275</v>
      </c>
      <c r="B75" s="23" t="s">
        <v>276</v>
      </c>
      <c r="C75" s="23" t="s">
        <v>277</v>
      </c>
      <c r="D75" s="23" t="s">
        <v>278</v>
      </c>
      <c r="E75" s="24" t="s">
        <v>279</v>
      </c>
      <c r="F75" s="24" t="s">
        <v>280</v>
      </c>
      <c r="G75" s="24" t="s">
        <v>281</v>
      </c>
      <c r="H75" s="24" t="s">
        <v>282</v>
      </c>
      <c r="I75" s="24" t="s">
        <v>283</v>
      </c>
      <c r="J75" s="24" t="s">
        <v>284</v>
      </c>
      <c r="K75" s="24" t="s">
        <v>285</v>
      </c>
      <c r="L75" s="24" t="s">
        <v>286</v>
      </c>
      <c r="M75" s="24" t="s">
        <v>327</v>
      </c>
      <c r="N75" s="24" t="s">
        <v>328</v>
      </c>
    </row>
    <row r="76" spans="1:14">
      <c r="A76" t="s">
        <v>359</v>
      </c>
      <c r="B76">
        <v>11871</v>
      </c>
      <c r="C76" s="9">
        <v>45911</v>
      </c>
      <c r="D76" s="27">
        <v>202</v>
      </c>
      <c r="E76" t="s">
        <v>360</v>
      </c>
      <c r="F76" t="s">
        <v>294</v>
      </c>
      <c r="G76">
        <v>2599809859</v>
      </c>
      <c r="H76" s="27">
        <v>105</v>
      </c>
      <c r="I76" s="9">
        <v>45565</v>
      </c>
      <c r="J76" s="9">
        <v>45565</v>
      </c>
      <c r="K76" s="27">
        <v>74.650000000000006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428A-E3F8-4A57-A325-FE418419C2C7}">
  <dimension ref="A1:V75"/>
  <sheetViews>
    <sheetView workbookViewId="0">
      <selection activeCell="F10" sqref="F10:F11"/>
    </sheetView>
  </sheetViews>
  <sheetFormatPr defaultRowHeight="15"/>
  <cols>
    <col min="1" max="1" width="53.42578125" bestFit="1" customWidth="1"/>
    <col min="2" max="2" width="18.140625" bestFit="1" customWidth="1"/>
    <col min="3" max="3" width="19.85546875" bestFit="1" customWidth="1"/>
    <col min="4" max="4" width="12" bestFit="1" customWidth="1"/>
    <col min="6" max="6" width="17.140625" customWidth="1"/>
    <col min="7" max="7" width="18.140625" customWidth="1"/>
    <col min="9" max="9" width="21" customWidth="1"/>
    <col min="11" max="11" width="17.140625" customWidth="1"/>
    <col min="16" max="16" width="17.5703125" customWidth="1"/>
  </cols>
  <sheetData>
    <row r="1" spans="1:9">
      <c r="A1" s="11" t="s">
        <v>361</v>
      </c>
      <c r="B1" s="11" t="s">
        <v>362</v>
      </c>
      <c r="C1" s="11" t="s">
        <v>363</v>
      </c>
      <c r="D1" s="13" t="s">
        <v>364</v>
      </c>
    </row>
    <row r="2" spans="1:9">
      <c r="A2" t="s">
        <v>365</v>
      </c>
      <c r="B2" t="s">
        <v>366</v>
      </c>
    </row>
    <row r="3" spans="1:9">
      <c r="A3" t="s">
        <v>367</v>
      </c>
      <c r="B3" t="s">
        <v>368</v>
      </c>
    </row>
    <row r="4" spans="1:9">
      <c r="A4" t="s">
        <v>369</v>
      </c>
      <c r="B4" t="s">
        <v>370</v>
      </c>
    </row>
    <row r="5" spans="1:9">
      <c r="A5" t="s">
        <v>310</v>
      </c>
      <c r="B5" t="s">
        <v>371</v>
      </c>
      <c r="C5" t="s">
        <v>372</v>
      </c>
      <c r="H5" t="s">
        <v>373</v>
      </c>
      <c r="I5">
        <v>8006240756</v>
      </c>
    </row>
    <row r="6" spans="1:9">
      <c r="A6" t="s">
        <v>374</v>
      </c>
      <c r="B6" t="s">
        <v>375</v>
      </c>
      <c r="C6">
        <v>8886246290</v>
      </c>
      <c r="D6" t="s">
        <v>376</v>
      </c>
    </row>
    <row r="7" spans="1:9">
      <c r="A7" t="s">
        <v>377</v>
      </c>
      <c r="B7">
        <v>7136686955</v>
      </c>
    </row>
    <row r="8" spans="1:9">
      <c r="A8" t="s">
        <v>378</v>
      </c>
      <c r="B8">
        <v>8557599700</v>
      </c>
      <c r="C8" t="s">
        <v>379</v>
      </c>
    </row>
    <row r="9" spans="1:9">
      <c r="A9" t="s">
        <v>380</v>
      </c>
      <c r="B9">
        <v>8662800402</v>
      </c>
    </row>
    <row r="10" spans="1:9">
      <c r="A10" t="s">
        <v>381</v>
      </c>
      <c r="B10" t="s">
        <v>382</v>
      </c>
      <c r="F10" t="s">
        <v>383</v>
      </c>
    </row>
    <row r="11" spans="1:9">
      <c r="A11" t="s">
        <v>384</v>
      </c>
      <c r="B11" t="s">
        <v>385</v>
      </c>
      <c r="F11" t="s">
        <v>386</v>
      </c>
    </row>
    <row r="12" spans="1:9">
      <c r="A12" t="s">
        <v>387</v>
      </c>
      <c r="B12" t="s">
        <v>388</v>
      </c>
    </row>
    <row r="13" spans="1:9">
      <c r="A13" t="s">
        <v>389</v>
      </c>
      <c r="B13" t="s">
        <v>390</v>
      </c>
    </row>
    <row r="14" spans="1:9">
      <c r="A14" t="s">
        <v>391</v>
      </c>
      <c r="B14" t="s">
        <v>392</v>
      </c>
      <c r="D14" s="45" t="s">
        <v>393</v>
      </c>
    </row>
    <row r="15" spans="1:9">
      <c r="A15" t="s">
        <v>394</v>
      </c>
      <c r="B15" t="s">
        <v>395</v>
      </c>
    </row>
    <row r="16" spans="1:9">
      <c r="A16" t="s">
        <v>396</v>
      </c>
      <c r="B16" t="s">
        <v>395</v>
      </c>
      <c r="C16">
        <v>8882969790</v>
      </c>
      <c r="D16" t="s">
        <v>397</v>
      </c>
    </row>
    <row r="17" spans="1:9">
      <c r="A17" t="s">
        <v>396</v>
      </c>
      <c r="B17" t="s">
        <v>398</v>
      </c>
      <c r="C17">
        <v>8007162299</v>
      </c>
      <c r="D17" t="s">
        <v>399</v>
      </c>
    </row>
    <row r="18" spans="1:9">
      <c r="A18" t="s">
        <v>400</v>
      </c>
      <c r="B18">
        <v>8332728360</v>
      </c>
    </row>
    <row r="19" spans="1:9">
      <c r="A19" t="s">
        <v>401</v>
      </c>
      <c r="B19" t="s">
        <v>402</v>
      </c>
    </row>
    <row r="20" spans="1:9">
      <c r="A20" t="s">
        <v>403</v>
      </c>
      <c r="B20" t="s">
        <v>404</v>
      </c>
    </row>
    <row r="21" spans="1:9">
      <c r="A21" t="s">
        <v>405</v>
      </c>
      <c r="B21" t="s">
        <v>406</v>
      </c>
    </row>
    <row r="22" spans="1:9">
      <c r="A22" t="s">
        <v>407</v>
      </c>
      <c r="B22" t="s">
        <v>408</v>
      </c>
    </row>
    <row r="23" spans="1:9">
      <c r="A23" t="s">
        <v>409</v>
      </c>
      <c r="B23">
        <v>8006245078</v>
      </c>
    </row>
    <row r="24" spans="1:9">
      <c r="A24" t="s">
        <v>410</v>
      </c>
      <c r="B24" t="s">
        <v>411</v>
      </c>
    </row>
    <row r="25" spans="1:9">
      <c r="A25" t="s">
        <v>412</v>
      </c>
      <c r="B25">
        <v>8002265116</v>
      </c>
    </row>
    <row r="26" spans="1:9">
      <c r="A26" t="s">
        <v>413</v>
      </c>
      <c r="B26" t="s">
        <v>181</v>
      </c>
      <c r="C26" t="s">
        <v>414</v>
      </c>
      <c r="D26" t="s">
        <v>415</v>
      </c>
    </row>
    <row r="27" spans="1:9">
      <c r="A27" t="s">
        <v>416</v>
      </c>
      <c r="B27" t="s">
        <v>181</v>
      </c>
    </row>
    <row r="28" spans="1:9">
      <c r="A28" t="s">
        <v>417</v>
      </c>
      <c r="B28" t="s">
        <v>418</v>
      </c>
      <c r="I28" t="s">
        <v>419</v>
      </c>
    </row>
    <row r="29" spans="1:9">
      <c r="A29" t="s">
        <v>420</v>
      </c>
      <c r="B29">
        <v>8004478386</v>
      </c>
      <c r="C29">
        <v>8888867973</v>
      </c>
      <c r="D29" t="s">
        <v>421</v>
      </c>
    </row>
    <row r="30" spans="1:9">
      <c r="A30" t="s">
        <v>366</v>
      </c>
      <c r="B30" t="s">
        <v>422</v>
      </c>
    </row>
    <row r="31" spans="1:9">
      <c r="A31" t="s">
        <v>423</v>
      </c>
      <c r="B31" t="s">
        <v>424</v>
      </c>
    </row>
    <row r="32" spans="1:9">
      <c r="A32" t="s">
        <v>423</v>
      </c>
      <c r="B32" t="s">
        <v>424</v>
      </c>
      <c r="H32" t="s">
        <v>425</v>
      </c>
      <c r="I32" t="s">
        <v>426</v>
      </c>
    </row>
    <row r="33" spans="1:22">
      <c r="A33" t="s">
        <v>427</v>
      </c>
      <c r="B33" t="s">
        <v>428</v>
      </c>
    </row>
    <row r="34" spans="1:22">
      <c r="A34" t="s">
        <v>429</v>
      </c>
      <c r="B34" t="s">
        <v>430</v>
      </c>
      <c r="E34" t="s">
        <v>431</v>
      </c>
    </row>
    <row r="35" spans="1:22">
      <c r="A35" s="12" t="s">
        <v>288</v>
      </c>
      <c r="B35" s="12" t="s">
        <v>432</v>
      </c>
    </row>
    <row r="36" spans="1:22">
      <c r="A36" t="s">
        <v>433</v>
      </c>
      <c r="B36" t="s">
        <v>434</v>
      </c>
      <c r="C36" t="s">
        <v>435</v>
      </c>
      <c r="D36" t="s">
        <v>436</v>
      </c>
      <c r="N36" t="s">
        <v>437</v>
      </c>
      <c r="T36" t="s">
        <v>438</v>
      </c>
      <c r="V36" t="s">
        <v>439</v>
      </c>
    </row>
    <row r="37" spans="1:22">
      <c r="A37" t="s">
        <v>440</v>
      </c>
      <c r="B37" t="s">
        <v>441</v>
      </c>
    </row>
    <row r="38" spans="1:22">
      <c r="A38" t="s">
        <v>442</v>
      </c>
      <c r="B38">
        <v>8888857337</v>
      </c>
    </row>
    <row r="39" spans="1:22">
      <c r="A39" t="s">
        <v>443</v>
      </c>
      <c r="B39" t="s">
        <v>444</v>
      </c>
    </row>
    <row r="40" spans="1:22">
      <c r="A40" t="s">
        <v>445</v>
      </c>
      <c r="B40" s="10" t="s">
        <v>446</v>
      </c>
      <c r="C40" t="s">
        <v>447</v>
      </c>
      <c r="K40" s="58" t="s">
        <v>448</v>
      </c>
      <c r="M40" t="s">
        <v>449</v>
      </c>
      <c r="N40" t="s">
        <v>450</v>
      </c>
    </row>
    <row r="41" spans="1:22">
      <c r="A41" t="s">
        <v>451</v>
      </c>
      <c r="B41">
        <v>8008771122</v>
      </c>
    </row>
    <row r="42" spans="1:22">
      <c r="A42" t="s">
        <v>452</v>
      </c>
      <c r="B42">
        <v>8884370606</v>
      </c>
    </row>
    <row r="43" spans="1:22">
      <c r="A43" t="s">
        <v>453</v>
      </c>
      <c r="B43" t="s">
        <v>454</v>
      </c>
    </row>
    <row r="44" spans="1:22">
      <c r="A44" t="s">
        <v>455</v>
      </c>
      <c r="B44">
        <v>8664199458</v>
      </c>
      <c r="D44">
        <v>8669444983</v>
      </c>
      <c r="F44" t="s">
        <v>456</v>
      </c>
    </row>
    <row r="45" spans="1:22">
      <c r="A45" t="s">
        <v>457</v>
      </c>
      <c r="B45" t="s">
        <v>458</v>
      </c>
    </row>
    <row r="46" spans="1:22">
      <c r="A46" t="s">
        <v>459</v>
      </c>
      <c r="B46" t="s">
        <v>460</v>
      </c>
    </row>
    <row r="47" spans="1:22">
      <c r="A47" t="s">
        <v>461</v>
      </c>
      <c r="B47">
        <v>18666419999</v>
      </c>
    </row>
    <row r="48" spans="1:22">
      <c r="A48" t="s">
        <v>462</v>
      </c>
      <c r="B48">
        <v>8008734575</v>
      </c>
    </row>
    <row r="49" spans="1:6">
      <c r="A49" t="s">
        <v>463</v>
      </c>
      <c r="B49" t="s">
        <v>464</v>
      </c>
    </row>
    <row r="50" spans="1:6">
      <c r="A50" t="s">
        <v>465</v>
      </c>
      <c r="B50">
        <v>8007764737</v>
      </c>
    </row>
    <row r="51" spans="1:6">
      <c r="A51" t="s">
        <v>466</v>
      </c>
      <c r="B51" t="s">
        <v>467</v>
      </c>
    </row>
    <row r="52" spans="1:6">
      <c r="A52" t="s">
        <v>468</v>
      </c>
      <c r="B52" t="s">
        <v>469</v>
      </c>
    </row>
    <row r="53" spans="1:6">
      <c r="A53" t="s">
        <v>470</v>
      </c>
      <c r="B53">
        <v>8007529797</v>
      </c>
      <c r="C53">
        <v>11</v>
      </c>
      <c r="D53">
        <v>5709694030</v>
      </c>
      <c r="E53" t="s">
        <v>471</v>
      </c>
    </row>
    <row r="54" spans="1:6">
      <c r="A54" t="s">
        <v>472</v>
      </c>
      <c r="B54" t="s">
        <v>473</v>
      </c>
    </row>
    <row r="55" spans="1:6">
      <c r="A55" t="s">
        <v>474</v>
      </c>
      <c r="B55">
        <v>8888749378</v>
      </c>
    </row>
    <row r="56" spans="1:6">
      <c r="A56" t="s">
        <v>105</v>
      </c>
      <c r="B56" t="s">
        <v>475</v>
      </c>
      <c r="C56">
        <v>8006383302</v>
      </c>
      <c r="D56" t="s">
        <v>476</v>
      </c>
      <c r="F56" t="s">
        <v>477</v>
      </c>
    </row>
    <row r="57" spans="1:6">
      <c r="A57" t="s">
        <v>478</v>
      </c>
      <c r="B57">
        <v>8772331800</v>
      </c>
    </row>
    <row r="58" spans="1:6">
      <c r="A58" t="s">
        <v>479</v>
      </c>
      <c r="B58" t="s">
        <v>480</v>
      </c>
    </row>
    <row r="59" spans="1:6">
      <c r="A59" t="s">
        <v>481</v>
      </c>
      <c r="B59">
        <v>8003312512</v>
      </c>
    </row>
    <row r="60" spans="1:6">
      <c r="A60" t="s">
        <v>482</v>
      </c>
      <c r="B60" t="s">
        <v>483</v>
      </c>
    </row>
    <row r="61" spans="1:6">
      <c r="A61" t="s">
        <v>484</v>
      </c>
      <c r="B61">
        <v>8557692500</v>
      </c>
    </row>
    <row r="62" spans="1:6">
      <c r="A62" t="s">
        <v>485</v>
      </c>
      <c r="B62" t="s">
        <v>486</v>
      </c>
    </row>
    <row r="63" spans="1:6">
      <c r="A63" t="s">
        <v>487</v>
      </c>
      <c r="B63">
        <v>8009008476</v>
      </c>
      <c r="C63" t="s">
        <v>488</v>
      </c>
    </row>
    <row r="64" spans="1:6">
      <c r="A64" t="s">
        <v>331</v>
      </c>
      <c r="B64" t="s">
        <v>489</v>
      </c>
    </row>
    <row r="65" spans="1:11">
      <c r="A65" t="s">
        <v>208</v>
      </c>
      <c r="B65" t="s">
        <v>490</v>
      </c>
      <c r="C65">
        <v>21</v>
      </c>
    </row>
    <row r="66" spans="1:11">
      <c r="A66" t="s">
        <v>491</v>
      </c>
      <c r="B66" s="56" t="s">
        <v>492</v>
      </c>
    </row>
    <row r="67" spans="1:11">
      <c r="A67" t="s">
        <v>493</v>
      </c>
      <c r="B67" t="s">
        <v>494</v>
      </c>
      <c r="C67">
        <v>8554961571</v>
      </c>
      <c r="J67" t="s">
        <v>495</v>
      </c>
      <c r="K67" t="s">
        <v>496</v>
      </c>
    </row>
    <row r="68" spans="1:11">
      <c r="A68" t="s">
        <v>497</v>
      </c>
      <c r="B68">
        <v>4052805600</v>
      </c>
      <c r="C68" t="s">
        <v>498</v>
      </c>
      <c r="F68">
        <v>8772805600</v>
      </c>
      <c r="G68" t="s">
        <v>499</v>
      </c>
    </row>
    <row r="73" spans="1:11">
      <c r="B73" t="s">
        <v>500</v>
      </c>
      <c r="C73" s="1" t="s">
        <v>501</v>
      </c>
      <c r="G73">
        <v>8594558650</v>
      </c>
      <c r="H73" t="s">
        <v>502</v>
      </c>
    </row>
    <row r="74" spans="1:11">
      <c r="B74" t="s">
        <v>503</v>
      </c>
    </row>
    <row r="75" spans="1:11">
      <c r="B75" t="s">
        <v>504</v>
      </c>
      <c r="C75" s="1" t="s">
        <v>505</v>
      </c>
    </row>
  </sheetData>
  <autoFilter ref="A1:F67" xr:uid="{F1D4428A-E3F8-4A57-A325-FE418419C2C7}">
    <sortState xmlns:xlrd2="http://schemas.microsoft.com/office/spreadsheetml/2017/richdata2" ref="A2:F67">
      <sortCondition ref="A1:A67"/>
    </sortState>
  </autoFilter>
  <hyperlinks>
    <hyperlink ref="C73" r:id="rId1" xr:uid="{E5522B76-68B9-406D-9B1D-DCCF83F893ED}"/>
    <hyperlink ref="C75" r:id="rId2" xr:uid="{031CFFD5-935C-4E4A-9D03-5941D01ED0C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4E9E-5481-48F8-9E77-6CE86E5CA679}">
  <dimension ref="A1:Y64"/>
  <sheetViews>
    <sheetView topLeftCell="A32" workbookViewId="0">
      <selection activeCell="H53" sqref="H53"/>
    </sheetView>
  </sheetViews>
  <sheetFormatPr defaultRowHeight="15"/>
  <cols>
    <col min="1" max="1" width="10.140625" bestFit="1" customWidth="1"/>
    <col min="8" max="8" width="10.140625" bestFit="1" customWidth="1"/>
  </cols>
  <sheetData>
    <row r="1" spans="1:23">
      <c r="A1" s="25" t="s">
        <v>506</v>
      </c>
      <c r="B1" s="26" t="s">
        <v>507</v>
      </c>
      <c r="C1" s="26" t="s">
        <v>508</v>
      </c>
      <c r="D1" s="26" t="s">
        <v>509</v>
      </c>
      <c r="P1" t="s">
        <v>510</v>
      </c>
    </row>
    <row r="2" spans="1:23">
      <c r="C2" t="s">
        <v>511</v>
      </c>
      <c r="P2" t="s">
        <v>511</v>
      </c>
      <c r="Q2" t="s">
        <v>512</v>
      </c>
      <c r="R2" t="s">
        <v>513</v>
      </c>
      <c r="S2" t="s">
        <v>514</v>
      </c>
    </row>
    <row r="3" spans="1:23">
      <c r="A3" s="9">
        <v>45824</v>
      </c>
      <c r="B3">
        <v>3</v>
      </c>
      <c r="C3">
        <v>13</v>
      </c>
      <c r="D3">
        <f>C3-B3</f>
        <v>10</v>
      </c>
      <c r="P3">
        <v>13</v>
      </c>
      <c r="Q3">
        <v>26</v>
      </c>
      <c r="R3">
        <v>39</v>
      </c>
      <c r="S3">
        <v>52</v>
      </c>
    </row>
    <row r="4" spans="1:23">
      <c r="A4" s="9">
        <v>45825</v>
      </c>
      <c r="B4">
        <v>13</v>
      </c>
      <c r="C4">
        <v>13</v>
      </c>
      <c r="D4">
        <f t="shared" ref="D4:D19" si="0">C4-B4</f>
        <v>0</v>
      </c>
      <c r="P4">
        <v>13</v>
      </c>
      <c r="Q4">
        <v>26</v>
      </c>
      <c r="R4">
        <v>39</v>
      </c>
      <c r="S4">
        <v>52</v>
      </c>
    </row>
    <row r="5" spans="1:23">
      <c r="A5" s="9">
        <v>45826</v>
      </c>
      <c r="B5">
        <v>29</v>
      </c>
      <c r="C5">
        <v>13</v>
      </c>
      <c r="D5">
        <f t="shared" si="0"/>
        <v>-16</v>
      </c>
      <c r="J5" t="s">
        <v>515</v>
      </c>
      <c r="K5" t="s">
        <v>516</v>
      </c>
      <c r="P5">
        <v>13</v>
      </c>
      <c r="Q5">
        <v>26</v>
      </c>
      <c r="R5">
        <v>39</v>
      </c>
      <c r="S5">
        <v>52</v>
      </c>
    </row>
    <row r="6" spans="1:23">
      <c r="A6" s="9">
        <v>45827</v>
      </c>
      <c r="B6">
        <v>16</v>
      </c>
      <c r="C6">
        <v>13</v>
      </c>
      <c r="D6">
        <f t="shared" si="0"/>
        <v>-3</v>
      </c>
      <c r="H6" s="9">
        <v>45824</v>
      </c>
      <c r="I6" t="s">
        <v>517</v>
      </c>
      <c r="J6">
        <v>14</v>
      </c>
      <c r="K6">
        <v>11</v>
      </c>
      <c r="P6">
        <v>13</v>
      </c>
      <c r="Q6">
        <v>26</v>
      </c>
      <c r="R6">
        <v>39</v>
      </c>
      <c r="S6">
        <v>52</v>
      </c>
    </row>
    <row r="7" spans="1:23">
      <c r="A7" s="9">
        <v>45828</v>
      </c>
      <c r="B7">
        <v>5</v>
      </c>
      <c r="C7">
        <v>13</v>
      </c>
      <c r="D7">
        <f t="shared" si="0"/>
        <v>8</v>
      </c>
      <c r="H7" s="9">
        <v>45824</v>
      </c>
      <c r="I7" t="s">
        <v>518</v>
      </c>
      <c r="J7">
        <v>30</v>
      </c>
      <c r="K7">
        <v>17</v>
      </c>
      <c r="P7">
        <v>13</v>
      </c>
      <c r="Q7">
        <v>26</v>
      </c>
      <c r="R7">
        <v>39</v>
      </c>
      <c r="S7">
        <v>52</v>
      </c>
    </row>
    <row r="8" spans="1:23">
      <c r="C8" t="s">
        <v>512</v>
      </c>
      <c r="H8" s="9">
        <v>45824</v>
      </c>
      <c r="I8" t="s">
        <v>519</v>
      </c>
      <c r="J8">
        <v>30</v>
      </c>
      <c r="K8">
        <v>20</v>
      </c>
      <c r="O8" t="s">
        <v>101</v>
      </c>
      <c r="P8">
        <f>SUM(P3:P7)</f>
        <v>65</v>
      </c>
      <c r="Q8">
        <f t="shared" ref="Q8:S8" si="1">SUM(Q3:Q7)</f>
        <v>130</v>
      </c>
      <c r="R8">
        <f t="shared" si="1"/>
        <v>195</v>
      </c>
      <c r="S8">
        <f t="shared" si="1"/>
        <v>260</v>
      </c>
      <c r="T8">
        <v>650</v>
      </c>
    </row>
    <row r="9" spans="1:23">
      <c r="A9" s="9">
        <v>45831</v>
      </c>
      <c r="B9">
        <v>19</v>
      </c>
      <c r="C9">
        <v>26</v>
      </c>
      <c r="D9">
        <f t="shared" si="0"/>
        <v>7</v>
      </c>
    </row>
    <row r="10" spans="1:23">
      <c r="A10" s="9">
        <v>45832</v>
      </c>
      <c r="B10">
        <v>19</v>
      </c>
      <c r="C10">
        <v>26</v>
      </c>
      <c r="D10">
        <f t="shared" si="0"/>
        <v>7</v>
      </c>
      <c r="V10" t="s">
        <v>520</v>
      </c>
      <c r="W10">
        <v>32</v>
      </c>
    </row>
    <row r="11" spans="1:23">
      <c r="A11" s="9">
        <v>45833</v>
      </c>
      <c r="B11">
        <v>42</v>
      </c>
      <c r="C11">
        <v>26</v>
      </c>
      <c r="D11">
        <f t="shared" si="0"/>
        <v>-16</v>
      </c>
    </row>
    <row r="12" spans="1:23">
      <c r="A12" s="9">
        <v>45834</v>
      </c>
      <c r="B12">
        <v>16</v>
      </c>
      <c r="C12">
        <v>26</v>
      </c>
      <c r="D12">
        <f t="shared" si="0"/>
        <v>10</v>
      </c>
    </row>
    <row r="13" spans="1:23">
      <c r="A13" s="9">
        <v>45835</v>
      </c>
      <c r="B13">
        <v>37</v>
      </c>
      <c r="C13">
        <v>26</v>
      </c>
      <c r="D13">
        <f t="shared" si="0"/>
        <v>-11</v>
      </c>
    </row>
    <row r="14" spans="1:23">
      <c r="C14" t="s">
        <v>513</v>
      </c>
    </row>
    <row r="15" spans="1:23">
      <c r="A15" s="9">
        <v>45838</v>
      </c>
      <c r="B15">
        <v>5</v>
      </c>
      <c r="C15">
        <v>39</v>
      </c>
      <c r="D15">
        <f t="shared" si="0"/>
        <v>34</v>
      </c>
      <c r="F15">
        <v>41</v>
      </c>
    </row>
    <row r="16" spans="1:23">
      <c r="A16" s="9">
        <v>45839</v>
      </c>
      <c r="B16">
        <v>57</v>
      </c>
      <c r="C16">
        <v>39</v>
      </c>
      <c r="D16">
        <f t="shared" si="0"/>
        <v>-18</v>
      </c>
      <c r="F16">
        <v>8</v>
      </c>
      <c r="M16" t="s">
        <v>521</v>
      </c>
      <c r="N16" t="s">
        <v>522</v>
      </c>
      <c r="O16" t="s">
        <v>523</v>
      </c>
    </row>
    <row r="17" spans="1:25">
      <c r="A17" s="9">
        <v>45840</v>
      </c>
      <c r="B17">
        <v>96</v>
      </c>
      <c r="C17">
        <v>39</v>
      </c>
      <c r="D17">
        <f t="shared" si="0"/>
        <v>-57</v>
      </c>
      <c r="F17">
        <v>6</v>
      </c>
      <c r="M17" t="s">
        <v>170</v>
      </c>
      <c r="N17" t="s">
        <v>524</v>
      </c>
      <c r="O17" s="53">
        <v>800</v>
      </c>
    </row>
    <row r="18" spans="1:25">
      <c r="A18" s="9">
        <v>45841</v>
      </c>
      <c r="B18">
        <v>7</v>
      </c>
      <c r="C18">
        <v>39</v>
      </c>
      <c r="D18">
        <f t="shared" si="0"/>
        <v>32</v>
      </c>
      <c r="N18" t="s">
        <v>525</v>
      </c>
      <c r="O18" s="53">
        <v>200</v>
      </c>
    </row>
    <row r="19" spans="1:25">
      <c r="A19" s="9">
        <v>45845</v>
      </c>
      <c r="B19">
        <v>21</v>
      </c>
      <c r="C19">
        <v>39</v>
      </c>
      <c r="D19">
        <f t="shared" si="0"/>
        <v>18</v>
      </c>
      <c r="F19" t="s">
        <v>526</v>
      </c>
    </row>
    <row r="21" spans="1:25">
      <c r="A21" s="9">
        <v>45846</v>
      </c>
      <c r="B21">
        <v>11</v>
      </c>
      <c r="C21">
        <v>52</v>
      </c>
      <c r="D21">
        <f>C21-B21</f>
        <v>41</v>
      </c>
      <c r="F21" t="s">
        <v>527</v>
      </c>
    </row>
    <row r="22" spans="1:25">
      <c r="A22" s="9">
        <v>45847</v>
      </c>
      <c r="B22" t="s">
        <v>528</v>
      </c>
      <c r="D22">
        <v>0</v>
      </c>
      <c r="F22" t="s">
        <v>529</v>
      </c>
    </row>
    <row r="23" spans="1:25">
      <c r="A23" s="9">
        <v>45848</v>
      </c>
      <c r="B23">
        <v>36</v>
      </c>
      <c r="C23">
        <v>52</v>
      </c>
      <c r="D23">
        <f t="shared" ref="D22:D32" si="2">C23-B23</f>
        <v>16</v>
      </c>
    </row>
    <row r="24" spans="1:25">
      <c r="A24" s="9">
        <v>45849</v>
      </c>
      <c r="B24">
        <v>20</v>
      </c>
      <c r="C24">
        <v>52</v>
      </c>
      <c r="D24">
        <f t="shared" si="2"/>
        <v>32</v>
      </c>
      <c r="Y24">
        <f>117-62</f>
        <v>55</v>
      </c>
    </row>
    <row r="25" spans="1:25">
      <c r="A25" s="9"/>
    </row>
    <row r="26" spans="1:25">
      <c r="A26" s="9"/>
    </row>
    <row r="27" spans="1:25">
      <c r="A27" s="9">
        <v>45852</v>
      </c>
      <c r="B27">
        <v>15</v>
      </c>
      <c r="C27">
        <v>52</v>
      </c>
      <c r="D27">
        <f t="shared" si="2"/>
        <v>37</v>
      </c>
    </row>
    <row r="28" spans="1:25">
      <c r="A28" s="9">
        <v>45853</v>
      </c>
      <c r="B28">
        <v>24</v>
      </c>
      <c r="C28">
        <v>52</v>
      </c>
      <c r="D28">
        <f t="shared" si="2"/>
        <v>28</v>
      </c>
    </row>
    <row r="29" spans="1:25">
      <c r="A29" s="9">
        <v>45854</v>
      </c>
      <c r="B29">
        <v>28</v>
      </c>
      <c r="C29">
        <v>52</v>
      </c>
      <c r="D29">
        <f t="shared" si="2"/>
        <v>24</v>
      </c>
    </row>
    <row r="30" spans="1:25">
      <c r="A30" s="9">
        <v>45855</v>
      </c>
      <c r="B30">
        <v>20</v>
      </c>
      <c r="C30">
        <v>52</v>
      </c>
      <c r="D30">
        <f t="shared" si="2"/>
        <v>32</v>
      </c>
    </row>
    <row r="31" spans="1:25">
      <c r="A31" s="9">
        <v>45856</v>
      </c>
      <c r="B31">
        <v>18</v>
      </c>
      <c r="C31">
        <v>52</v>
      </c>
      <c r="D31">
        <f t="shared" si="2"/>
        <v>34</v>
      </c>
    </row>
    <row r="33" spans="1:23">
      <c r="A33" s="9">
        <v>45859</v>
      </c>
      <c r="B33">
        <v>19</v>
      </c>
      <c r="C33">
        <v>52</v>
      </c>
      <c r="D33">
        <f t="shared" ref="D33:D54" si="3">C33-B33</f>
        <v>33</v>
      </c>
    </row>
    <row r="34" spans="1:23">
      <c r="A34" s="9">
        <v>45860</v>
      </c>
      <c r="B34">
        <v>12</v>
      </c>
      <c r="C34">
        <v>52</v>
      </c>
      <c r="D34">
        <f t="shared" si="3"/>
        <v>40</v>
      </c>
    </row>
    <row r="35" spans="1:23">
      <c r="A35" s="9">
        <v>45861</v>
      </c>
      <c r="B35">
        <v>21</v>
      </c>
      <c r="C35">
        <v>52</v>
      </c>
      <c r="D35">
        <f t="shared" si="3"/>
        <v>31</v>
      </c>
    </row>
    <row r="36" spans="1:23">
      <c r="A36" s="9">
        <v>45862</v>
      </c>
      <c r="B36">
        <v>29</v>
      </c>
      <c r="C36">
        <v>52</v>
      </c>
      <c r="D36">
        <f t="shared" si="3"/>
        <v>23</v>
      </c>
    </row>
    <row r="37" spans="1:23">
      <c r="A37" s="9">
        <v>45863</v>
      </c>
      <c r="B37">
        <v>93</v>
      </c>
      <c r="C37">
        <v>52</v>
      </c>
      <c r="D37">
        <f t="shared" si="3"/>
        <v>-41</v>
      </c>
    </row>
    <row r="38" spans="1:23">
      <c r="A38" s="9"/>
    </row>
    <row r="39" spans="1:23">
      <c r="A39" s="9"/>
    </row>
    <row r="40" spans="1:23">
      <c r="A40" s="9">
        <v>45866</v>
      </c>
      <c r="B40">
        <v>52</v>
      </c>
      <c r="C40">
        <v>52</v>
      </c>
      <c r="D40">
        <f t="shared" si="3"/>
        <v>0</v>
      </c>
    </row>
    <row r="41" spans="1:23">
      <c r="A41" s="9">
        <v>45867</v>
      </c>
      <c r="B41">
        <v>52</v>
      </c>
      <c r="C41">
        <v>52</v>
      </c>
      <c r="D41">
        <f t="shared" si="3"/>
        <v>0</v>
      </c>
    </row>
    <row r="42" spans="1:23">
      <c r="A42" s="9">
        <v>45868</v>
      </c>
      <c r="B42" t="s">
        <v>530</v>
      </c>
      <c r="C42" t="s">
        <v>528</v>
      </c>
      <c r="D42" t="s">
        <v>528</v>
      </c>
    </row>
    <row r="43" spans="1:23">
      <c r="A43" s="9">
        <v>45869</v>
      </c>
      <c r="B43">
        <v>65</v>
      </c>
      <c r="C43">
        <v>52</v>
      </c>
      <c r="D43">
        <f t="shared" si="3"/>
        <v>-13</v>
      </c>
    </row>
    <row r="44" spans="1:23">
      <c r="A44" s="9"/>
    </row>
    <row r="45" spans="1:23">
      <c r="A45" s="9">
        <v>45870</v>
      </c>
      <c r="B45">
        <v>11</v>
      </c>
      <c r="C45">
        <v>52</v>
      </c>
      <c r="D45">
        <f t="shared" si="3"/>
        <v>41</v>
      </c>
    </row>
    <row r="46" spans="1:23">
      <c r="A46" s="9">
        <v>45873</v>
      </c>
      <c r="B46">
        <v>59</v>
      </c>
      <c r="C46">
        <v>52</v>
      </c>
      <c r="D46">
        <f t="shared" si="3"/>
        <v>-7</v>
      </c>
    </row>
    <row r="47" spans="1:23">
      <c r="A47" s="9">
        <v>45874</v>
      </c>
      <c r="B47">
        <v>58</v>
      </c>
      <c r="C47">
        <v>52</v>
      </c>
      <c r="D47">
        <f t="shared" si="3"/>
        <v>-6</v>
      </c>
      <c r="F47" t="s">
        <v>531</v>
      </c>
    </row>
    <row r="48" spans="1:23">
      <c r="A48" s="9">
        <v>45875</v>
      </c>
      <c r="B48">
        <v>17</v>
      </c>
      <c r="C48">
        <v>52</v>
      </c>
      <c r="D48">
        <f t="shared" si="3"/>
        <v>35</v>
      </c>
      <c r="V48" t="s">
        <v>524</v>
      </c>
      <c r="W48">
        <v>1562</v>
      </c>
    </row>
    <row r="49" spans="1:23">
      <c r="A49" s="9">
        <v>45876</v>
      </c>
      <c r="B49">
        <v>24</v>
      </c>
      <c r="C49">
        <v>52</v>
      </c>
      <c r="D49">
        <f t="shared" si="3"/>
        <v>28</v>
      </c>
      <c r="V49" t="s">
        <v>177</v>
      </c>
      <c r="W49">
        <v>191.96</v>
      </c>
    </row>
    <row r="50" spans="1:23">
      <c r="A50" s="9">
        <v>45877</v>
      </c>
      <c r="B50">
        <v>41</v>
      </c>
      <c r="C50">
        <v>52</v>
      </c>
      <c r="D50">
        <f t="shared" si="3"/>
        <v>11</v>
      </c>
    </row>
    <row r="51" spans="1:23">
      <c r="A51" s="9">
        <v>45880</v>
      </c>
      <c r="B51">
        <v>38</v>
      </c>
      <c r="C51">
        <v>52</v>
      </c>
      <c r="D51">
        <f t="shared" si="3"/>
        <v>14</v>
      </c>
    </row>
    <row r="52" spans="1:23">
      <c r="A52" s="9">
        <v>45881</v>
      </c>
      <c r="B52">
        <v>31</v>
      </c>
      <c r="C52">
        <v>52</v>
      </c>
      <c r="D52">
        <f t="shared" si="3"/>
        <v>21</v>
      </c>
    </row>
    <row r="53" spans="1:23">
      <c r="A53" s="9">
        <v>45882</v>
      </c>
      <c r="C53">
        <v>52</v>
      </c>
      <c r="D53">
        <f t="shared" si="3"/>
        <v>52</v>
      </c>
    </row>
    <row r="54" spans="1:23">
      <c r="A54" s="9">
        <v>45883</v>
      </c>
      <c r="C54">
        <v>52</v>
      </c>
      <c r="D54">
        <f t="shared" si="3"/>
        <v>52</v>
      </c>
    </row>
    <row r="55" spans="1:23">
      <c r="A55" s="9">
        <v>45887</v>
      </c>
    </row>
    <row r="56" spans="1:23">
      <c r="A56" s="9">
        <v>45888</v>
      </c>
    </row>
    <row r="57" spans="1:23">
      <c r="A57" s="9">
        <v>45889</v>
      </c>
    </row>
    <row r="58" spans="1:23">
      <c r="A58" s="9">
        <v>45890</v>
      </c>
    </row>
    <row r="59" spans="1:23">
      <c r="A59" s="9">
        <v>45891</v>
      </c>
    </row>
    <row r="60" spans="1:23">
      <c r="A60" s="9">
        <v>45894</v>
      </c>
    </row>
    <row r="61" spans="1:23">
      <c r="A61" s="9">
        <v>45895</v>
      </c>
    </row>
    <row r="62" spans="1:23">
      <c r="A62" s="9">
        <v>45896</v>
      </c>
    </row>
    <row r="63" spans="1:23">
      <c r="A63" s="9">
        <v>45897</v>
      </c>
    </row>
    <row r="64" spans="1:23">
      <c r="A64" s="9">
        <v>45898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D75B2-737E-4E5F-A6F9-FFC4FBE3B563}">
  <dimension ref="A1:B5"/>
  <sheetViews>
    <sheetView workbookViewId="0">
      <selection activeCell="B18" sqref="B18"/>
    </sheetView>
  </sheetViews>
  <sheetFormatPr defaultRowHeight="15"/>
  <cols>
    <col min="1" max="1" width="27.140625" style="8" customWidth="1"/>
    <col min="2" max="2" width="83.140625" style="8" customWidth="1"/>
    <col min="3" max="16384" width="9.140625" style="8"/>
  </cols>
  <sheetData>
    <row r="1" spans="1:2" ht="43.5">
      <c r="A1" s="8" t="s">
        <v>532</v>
      </c>
      <c r="B1" s="8" t="s">
        <v>533</v>
      </c>
    </row>
    <row r="2" spans="1:2" ht="24" customHeight="1">
      <c r="A2" s="8" t="s">
        <v>534</v>
      </c>
    </row>
    <row r="3" spans="1:2">
      <c r="B3" s="8" t="s">
        <v>535</v>
      </c>
    </row>
    <row r="4" spans="1:2">
      <c r="B4" s="8" t="s">
        <v>536</v>
      </c>
    </row>
    <row r="5" spans="1:2">
      <c r="B5" s="8" t="s">
        <v>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8EBD-6EA3-46CD-B99B-4A8B05F561FA}">
  <dimension ref="A1:M32"/>
  <sheetViews>
    <sheetView workbookViewId="0">
      <selection activeCell="U18" sqref="U18"/>
    </sheetView>
  </sheetViews>
  <sheetFormatPr defaultRowHeight="15"/>
  <cols>
    <col min="1" max="1" width="7.7109375" style="15" bestFit="1" customWidth="1"/>
    <col min="2" max="2" width="6.28515625" style="17" bestFit="1" customWidth="1"/>
    <col min="3" max="3" width="21.85546875" style="17" bestFit="1" customWidth="1"/>
    <col min="4" max="4" width="17.140625" style="17" customWidth="1"/>
    <col min="5" max="5" width="129.28515625" style="15" customWidth="1"/>
    <col min="13" max="13" width="36" customWidth="1"/>
  </cols>
  <sheetData>
    <row r="1" spans="1:13" ht="29.25">
      <c r="A1" s="16">
        <v>17979</v>
      </c>
      <c r="B1" s="17" t="s">
        <v>538</v>
      </c>
      <c r="C1" s="17" t="s">
        <v>539</v>
      </c>
      <c r="D1" s="17" t="s">
        <v>539</v>
      </c>
      <c r="E1" s="15" t="s">
        <v>540</v>
      </c>
    </row>
    <row r="2" spans="1:13">
      <c r="A2" s="16">
        <v>119132</v>
      </c>
      <c r="B2" s="17" t="s">
        <v>541</v>
      </c>
      <c r="C2" s="17" t="s">
        <v>542</v>
      </c>
      <c r="D2" s="17" t="s">
        <v>542</v>
      </c>
      <c r="E2" s="15" t="s">
        <v>543</v>
      </c>
    </row>
    <row r="3" spans="1:13">
      <c r="A3" s="16">
        <v>119142</v>
      </c>
      <c r="B3" s="17" t="s">
        <v>541</v>
      </c>
      <c r="C3" s="17" t="s">
        <v>542</v>
      </c>
      <c r="D3" s="17" t="s">
        <v>542</v>
      </c>
      <c r="E3" s="15" t="s">
        <v>544</v>
      </c>
    </row>
    <row r="4" spans="1:13">
      <c r="A4" s="16">
        <v>118726</v>
      </c>
      <c r="B4" s="17" t="s">
        <v>541</v>
      </c>
      <c r="C4" s="17" t="s">
        <v>542</v>
      </c>
      <c r="D4" s="17" t="s">
        <v>542</v>
      </c>
      <c r="E4" s="15" t="s">
        <v>545</v>
      </c>
    </row>
    <row r="5" spans="1:13">
      <c r="A5" s="16">
        <v>119207</v>
      </c>
      <c r="B5" s="17" t="s">
        <v>541</v>
      </c>
      <c r="C5" s="17" t="s">
        <v>542</v>
      </c>
      <c r="D5" s="17" t="s">
        <v>542</v>
      </c>
      <c r="E5" s="15" t="s">
        <v>546</v>
      </c>
    </row>
    <row r="6" spans="1:13">
      <c r="A6" s="16">
        <v>118540</v>
      </c>
      <c r="B6" s="17" t="s">
        <v>541</v>
      </c>
      <c r="C6" s="17" t="s">
        <v>542</v>
      </c>
      <c r="D6" s="17" t="s">
        <v>542</v>
      </c>
      <c r="E6" s="15" t="s">
        <v>547</v>
      </c>
    </row>
    <row r="7" spans="1:13">
      <c r="A7" s="16">
        <v>119202</v>
      </c>
      <c r="B7" s="17" t="s">
        <v>541</v>
      </c>
      <c r="C7" s="17" t="s">
        <v>542</v>
      </c>
      <c r="D7" s="17" t="s">
        <v>542</v>
      </c>
      <c r="E7" s="15" t="s">
        <v>548</v>
      </c>
    </row>
    <row r="8" spans="1:13">
      <c r="A8" s="16">
        <v>119086</v>
      </c>
      <c r="B8" s="17" t="s">
        <v>541</v>
      </c>
      <c r="C8" s="17" t="s">
        <v>542</v>
      </c>
      <c r="D8" s="17" t="s">
        <v>542</v>
      </c>
      <c r="E8" s="15" t="s">
        <v>549</v>
      </c>
    </row>
    <row r="9" spans="1:13">
      <c r="A9" s="16">
        <v>119170</v>
      </c>
      <c r="B9" s="17" t="s">
        <v>541</v>
      </c>
      <c r="C9" s="17" t="s">
        <v>542</v>
      </c>
      <c r="D9" s="17" t="s">
        <v>542</v>
      </c>
      <c r="E9" s="15" t="s">
        <v>550</v>
      </c>
    </row>
    <row r="10" spans="1:13" ht="29.25">
      <c r="A10" s="16">
        <v>211944</v>
      </c>
      <c r="B10" s="17" t="s">
        <v>171</v>
      </c>
      <c r="C10" s="17" t="s">
        <v>551</v>
      </c>
      <c r="D10" s="17" t="s">
        <v>551</v>
      </c>
      <c r="E10" s="15" t="s">
        <v>552</v>
      </c>
    </row>
    <row r="11" spans="1:13" ht="29.25">
      <c r="A11" s="16">
        <v>211526</v>
      </c>
      <c r="B11" s="17" t="s">
        <v>171</v>
      </c>
      <c r="C11" s="17" t="s">
        <v>551</v>
      </c>
      <c r="D11" s="17" t="s">
        <v>551</v>
      </c>
      <c r="E11" s="15" t="s">
        <v>553</v>
      </c>
    </row>
    <row r="12" spans="1:13" ht="216.75">
      <c r="A12" s="16">
        <v>211970</v>
      </c>
      <c r="B12" s="17" t="s">
        <v>171</v>
      </c>
      <c r="C12" s="17" t="s">
        <v>551</v>
      </c>
      <c r="D12" s="17" t="s">
        <v>551</v>
      </c>
      <c r="E12" s="15" t="s">
        <v>554</v>
      </c>
      <c r="M12" s="15" t="s">
        <v>555</v>
      </c>
    </row>
    <row r="13" spans="1:13" ht="29.25">
      <c r="A13" s="16">
        <v>210970</v>
      </c>
      <c r="B13" s="17" t="s">
        <v>171</v>
      </c>
      <c r="C13" s="17" t="s">
        <v>551</v>
      </c>
      <c r="D13" s="17" t="s">
        <v>551</v>
      </c>
      <c r="E13" s="15" t="s">
        <v>556</v>
      </c>
    </row>
    <row r="14" spans="1:13" ht="29.25">
      <c r="A14" s="16">
        <v>212200</v>
      </c>
      <c r="B14" s="17" t="s">
        <v>171</v>
      </c>
      <c r="C14" s="17" t="s">
        <v>551</v>
      </c>
      <c r="D14" s="17" t="s">
        <v>551</v>
      </c>
      <c r="E14" s="15" t="s">
        <v>557</v>
      </c>
    </row>
    <row r="15" spans="1:13">
      <c r="A15" s="16">
        <v>211925</v>
      </c>
      <c r="B15" s="17" t="s">
        <v>171</v>
      </c>
      <c r="C15" s="17" t="s">
        <v>558</v>
      </c>
      <c r="D15" s="17" t="s">
        <v>558</v>
      </c>
      <c r="E15" s="15" t="s">
        <v>559</v>
      </c>
    </row>
    <row r="16" spans="1:13">
      <c r="A16" s="16">
        <v>211845</v>
      </c>
      <c r="B16" s="17" t="s">
        <v>171</v>
      </c>
      <c r="C16" s="17" t="s">
        <v>558</v>
      </c>
      <c r="D16" s="17" t="s">
        <v>558</v>
      </c>
      <c r="E16" s="15" t="s">
        <v>559</v>
      </c>
    </row>
    <row r="17" spans="1:5" ht="43.5">
      <c r="A17" s="16">
        <v>232632</v>
      </c>
      <c r="B17" s="17" t="s">
        <v>560</v>
      </c>
      <c r="C17" s="17" t="s">
        <v>561</v>
      </c>
      <c r="D17" s="17" t="s">
        <v>561</v>
      </c>
      <c r="E17" s="15" t="s">
        <v>562</v>
      </c>
    </row>
    <row r="18" spans="1:5" ht="43.5">
      <c r="A18" s="16">
        <v>232692</v>
      </c>
      <c r="B18" s="17" t="s">
        <v>560</v>
      </c>
      <c r="C18" s="17" t="s">
        <v>561</v>
      </c>
      <c r="D18" s="17" t="s">
        <v>561</v>
      </c>
      <c r="E18" s="15" t="s">
        <v>563</v>
      </c>
    </row>
    <row r="19" spans="1:5" ht="43.5">
      <c r="A19" s="16">
        <v>234105</v>
      </c>
      <c r="B19" s="17" t="s">
        <v>560</v>
      </c>
      <c r="C19" s="17" t="s">
        <v>561</v>
      </c>
      <c r="D19" s="17" t="s">
        <v>561</v>
      </c>
      <c r="E19" s="15" t="s">
        <v>564</v>
      </c>
    </row>
    <row r="20" spans="1:5" ht="43.5">
      <c r="A20" s="16">
        <v>234513</v>
      </c>
      <c r="B20" s="17" t="s">
        <v>560</v>
      </c>
      <c r="C20" s="17" t="s">
        <v>561</v>
      </c>
      <c r="D20" s="17" t="s">
        <v>561</v>
      </c>
      <c r="E20" s="15" t="s">
        <v>565</v>
      </c>
    </row>
    <row r="21" spans="1:5" ht="29.25">
      <c r="A21" s="16">
        <v>232533</v>
      </c>
      <c r="B21" s="17" t="s">
        <v>560</v>
      </c>
      <c r="C21" s="17" t="s">
        <v>566</v>
      </c>
      <c r="D21" s="17" t="s">
        <v>566</v>
      </c>
      <c r="E21" s="15" t="s">
        <v>567</v>
      </c>
    </row>
    <row r="22" spans="1:5" ht="29.25">
      <c r="A22" s="16">
        <v>232643</v>
      </c>
      <c r="B22" s="17" t="s">
        <v>560</v>
      </c>
      <c r="C22" s="17" t="s">
        <v>566</v>
      </c>
      <c r="D22" s="17" t="s">
        <v>566</v>
      </c>
      <c r="E22" s="15" t="s">
        <v>568</v>
      </c>
    </row>
    <row r="23" spans="1:5" ht="29.25">
      <c r="A23" s="16">
        <v>232394</v>
      </c>
      <c r="B23" s="17" t="s">
        <v>560</v>
      </c>
      <c r="C23" s="17" t="s">
        <v>569</v>
      </c>
      <c r="D23" s="17" t="s">
        <v>569</v>
      </c>
      <c r="E23" s="15" t="s">
        <v>570</v>
      </c>
    </row>
    <row r="24" spans="1:5" ht="29.25">
      <c r="A24" s="16">
        <v>232847</v>
      </c>
      <c r="B24" s="17" t="s">
        <v>560</v>
      </c>
      <c r="C24" s="17" t="s">
        <v>542</v>
      </c>
      <c r="D24" s="17" t="s">
        <v>542</v>
      </c>
      <c r="E24" s="15" t="s">
        <v>571</v>
      </c>
    </row>
    <row r="25" spans="1:5" ht="29.25">
      <c r="A25" s="16">
        <v>227742</v>
      </c>
      <c r="B25" s="17" t="s">
        <v>560</v>
      </c>
      <c r="C25" s="17" t="s">
        <v>572</v>
      </c>
      <c r="D25" s="17" t="s">
        <v>572</v>
      </c>
      <c r="E25" s="15" t="s">
        <v>573</v>
      </c>
    </row>
    <row r="26" spans="1:5" ht="29.25">
      <c r="A26" s="16">
        <v>233074</v>
      </c>
      <c r="B26" s="17" t="s">
        <v>560</v>
      </c>
      <c r="C26" s="17" t="s">
        <v>542</v>
      </c>
      <c r="D26" s="17" t="s">
        <v>542</v>
      </c>
      <c r="E26" s="15" t="s">
        <v>571</v>
      </c>
    </row>
    <row r="27" spans="1:5">
      <c r="A27" s="16">
        <v>230130</v>
      </c>
      <c r="B27" s="17" t="s">
        <v>560</v>
      </c>
      <c r="C27" s="17" t="s">
        <v>574</v>
      </c>
      <c r="D27" s="17" t="s">
        <v>574</v>
      </c>
      <c r="E27" s="15" t="s">
        <v>575</v>
      </c>
    </row>
    <row r="28" spans="1:5" ht="43.5">
      <c r="A28" s="16">
        <v>231612</v>
      </c>
      <c r="B28" s="17" t="s">
        <v>560</v>
      </c>
      <c r="C28" s="17" t="s">
        <v>574</v>
      </c>
      <c r="D28" s="17" t="s">
        <v>574</v>
      </c>
      <c r="E28" s="15" t="s">
        <v>576</v>
      </c>
    </row>
    <row r="29" spans="1:5" ht="29.25">
      <c r="A29" s="16">
        <v>232439</v>
      </c>
      <c r="B29" s="17" t="s">
        <v>560</v>
      </c>
      <c r="C29" s="17" t="s">
        <v>569</v>
      </c>
      <c r="D29" s="17" t="s">
        <v>569</v>
      </c>
      <c r="E29" s="15" t="s">
        <v>577</v>
      </c>
    </row>
    <row r="30" spans="1:5" ht="29.25">
      <c r="A30" s="16">
        <v>230837</v>
      </c>
      <c r="B30" s="17" t="s">
        <v>560</v>
      </c>
      <c r="C30" s="17" t="s">
        <v>542</v>
      </c>
      <c r="D30" s="17" t="s">
        <v>542</v>
      </c>
      <c r="E30" s="15" t="s">
        <v>578</v>
      </c>
    </row>
    <row r="31" spans="1:5" ht="29.25">
      <c r="A31" s="16">
        <v>226190</v>
      </c>
      <c r="B31" s="17" t="s">
        <v>560</v>
      </c>
      <c r="C31" s="17" t="s">
        <v>542</v>
      </c>
      <c r="D31" s="17" t="s">
        <v>542</v>
      </c>
      <c r="E31" s="15" t="s">
        <v>579</v>
      </c>
    </row>
    <row r="32" spans="1:5">
      <c r="A32" s="16">
        <v>231500</v>
      </c>
      <c r="B32" s="17" t="s">
        <v>560</v>
      </c>
      <c r="C32" s="17" t="s">
        <v>580</v>
      </c>
      <c r="D32" s="17" t="s">
        <v>580</v>
      </c>
      <c r="E32" s="15" t="s">
        <v>581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B9E7B-0834-496F-A4F5-8AD75E9BBD9B}">
  <dimension ref="A1:B1"/>
  <sheetViews>
    <sheetView workbookViewId="0">
      <selection activeCell="B4" sqref="B4"/>
    </sheetView>
  </sheetViews>
  <sheetFormatPr defaultRowHeight="15"/>
  <cols>
    <col min="1" max="1" width="28.42578125" style="8" customWidth="1"/>
    <col min="2" max="2" width="159.85546875" style="8" customWidth="1"/>
    <col min="3" max="16384" width="9.140625" style="8"/>
  </cols>
  <sheetData>
    <row r="1" spans="1:2" ht="43.5">
      <c r="A1" s="8" t="s">
        <v>582</v>
      </c>
      <c r="B1" s="8" t="s">
        <v>583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F65A-07E9-4A90-9E72-36E26FD7696C}">
  <dimension ref="A1:P42"/>
  <sheetViews>
    <sheetView topLeftCell="A25" workbookViewId="0">
      <selection activeCell="A41" sqref="A41"/>
    </sheetView>
  </sheetViews>
  <sheetFormatPr defaultRowHeight="15"/>
  <cols>
    <col min="1" max="1" width="89.42578125" bestFit="1" customWidth="1"/>
    <col min="2" max="2" width="34.7109375" customWidth="1"/>
  </cols>
  <sheetData>
    <row r="1" spans="1:16">
      <c r="A1" t="s">
        <v>584</v>
      </c>
      <c r="B1" t="s">
        <v>585</v>
      </c>
      <c r="C1" s="2">
        <v>1</v>
      </c>
      <c r="G1" t="s">
        <v>586</v>
      </c>
    </row>
    <row r="2" spans="1:16">
      <c r="A2" t="s">
        <v>587</v>
      </c>
      <c r="B2" t="s">
        <v>585</v>
      </c>
      <c r="C2" s="2">
        <v>0.9</v>
      </c>
      <c r="F2" t="s">
        <v>588</v>
      </c>
      <c r="G2" t="s">
        <v>589</v>
      </c>
    </row>
    <row r="3" spans="1:16">
      <c r="A3" t="s">
        <v>590</v>
      </c>
    </row>
    <row r="4" spans="1:16">
      <c r="A4" t="s">
        <v>591</v>
      </c>
    </row>
    <row r="6" spans="1:16" ht="101.25">
      <c r="A6" s="15" t="s">
        <v>592</v>
      </c>
      <c r="B6" t="s">
        <v>593</v>
      </c>
      <c r="G6" s="60" t="s">
        <v>594</v>
      </c>
    </row>
    <row r="7" spans="1:16">
      <c r="A7" t="s">
        <v>595</v>
      </c>
      <c r="B7" t="s">
        <v>596</v>
      </c>
      <c r="P7" t="s">
        <v>597</v>
      </c>
    </row>
    <row r="8" spans="1:16">
      <c r="D8" t="s">
        <v>598</v>
      </c>
    </row>
    <row r="9" spans="1:16">
      <c r="A9" t="s">
        <v>599</v>
      </c>
      <c r="D9" t="s">
        <v>181</v>
      </c>
      <c r="P9" t="s">
        <v>600</v>
      </c>
    </row>
    <row r="10" spans="1:16">
      <c r="A10" t="s">
        <v>601</v>
      </c>
      <c r="D10" t="s">
        <v>181</v>
      </c>
      <c r="P10" t="s">
        <v>602</v>
      </c>
    </row>
    <row r="11" spans="1:16">
      <c r="D11" t="s">
        <v>603</v>
      </c>
      <c r="P11" t="s">
        <v>604</v>
      </c>
    </row>
    <row r="12" spans="1:16">
      <c r="A12" t="s">
        <v>605</v>
      </c>
      <c r="B12" t="s">
        <v>606</v>
      </c>
      <c r="P12" t="s">
        <v>607</v>
      </c>
    </row>
    <row r="13" spans="1:16">
      <c r="A13" t="s">
        <v>608</v>
      </c>
      <c r="P13" t="s">
        <v>609</v>
      </c>
    </row>
    <row r="14" spans="1:16">
      <c r="A14" t="s">
        <v>610</v>
      </c>
      <c r="P14" t="s">
        <v>611</v>
      </c>
    </row>
    <row r="15" spans="1:16">
      <c r="A15" t="s">
        <v>450</v>
      </c>
      <c r="B15" t="s">
        <v>612</v>
      </c>
    </row>
    <row r="16" spans="1:16">
      <c r="A16" t="s">
        <v>613</v>
      </c>
      <c r="B16" s="47" t="s">
        <v>614</v>
      </c>
    </row>
    <row r="19" spans="1:4">
      <c r="A19" s="10" t="s">
        <v>615</v>
      </c>
      <c r="B19" t="s">
        <v>616</v>
      </c>
    </row>
    <row r="20" spans="1:4">
      <c r="A20" t="s">
        <v>617</v>
      </c>
      <c r="B20" t="s">
        <v>616</v>
      </c>
      <c r="D20" t="s">
        <v>618</v>
      </c>
    </row>
    <row r="21" spans="1:4">
      <c r="A21" t="s">
        <v>619</v>
      </c>
      <c r="B21" t="s">
        <v>620</v>
      </c>
    </row>
    <row r="22" spans="1:4">
      <c r="D22" t="s">
        <v>618</v>
      </c>
    </row>
    <row r="23" spans="1:4">
      <c r="A23" t="s">
        <v>621</v>
      </c>
    </row>
    <row r="24" spans="1:4">
      <c r="A24" s="48" t="s">
        <v>622</v>
      </c>
    </row>
    <row r="25" spans="1:4">
      <c r="A25" s="48" t="s">
        <v>181</v>
      </c>
    </row>
    <row r="26" spans="1:4" ht="57.75">
      <c r="A26" s="15" t="s">
        <v>623</v>
      </c>
    </row>
    <row r="27" spans="1:4">
      <c r="A27" t="s">
        <v>624</v>
      </c>
    </row>
    <row r="29" spans="1:4">
      <c r="A29" t="s">
        <v>625</v>
      </c>
      <c r="B29" t="s">
        <v>626</v>
      </c>
    </row>
    <row r="31" spans="1:4">
      <c r="A31" t="s">
        <v>627</v>
      </c>
    </row>
    <row r="32" spans="1:4">
      <c r="A32" t="s">
        <v>628</v>
      </c>
    </row>
    <row r="33" spans="1:3">
      <c r="A33" t="s">
        <v>629</v>
      </c>
    </row>
    <row r="34" spans="1:3">
      <c r="A34" t="s">
        <v>630</v>
      </c>
    </row>
    <row r="35" spans="1:3">
      <c r="A35" t="s">
        <v>631</v>
      </c>
    </row>
    <row r="36" spans="1:3">
      <c r="A36" t="s">
        <v>632</v>
      </c>
    </row>
    <row r="39" spans="1:3" ht="57.75">
      <c r="A39" s="15" t="s">
        <v>633</v>
      </c>
    </row>
    <row r="41" spans="1:3">
      <c r="B41" t="s">
        <v>634</v>
      </c>
      <c r="C41" t="s">
        <v>635</v>
      </c>
    </row>
    <row r="42" spans="1:3">
      <c r="A42"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188E-5661-408A-8F87-C9B45CEEEADA}">
  <dimension ref="A1"/>
  <sheetViews>
    <sheetView workbookViewId="0">
      <selection activeCell="I13" sqref="I13"/>
    </sheetView>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151B-D2BB-45C8-9161-97257CBF9E54}">
  <dimension ref="A1:G51"/>
  <sheetViews>
    <sheetView workbookViewId="0">
      <selection activeCell="B33" sqref="B33"/>
    </sheetView>
  </sheetViews>
  <sheetFormatPr defaultRowHeight="15"/>
  <cols>
    <col min="1" max="1" width="82.42578125" bestFit="1" customWidth="1"/>
    <col min="2" max="2" width="19.85546875" bestFit="1" customWidth="1"/>
    <col min="6" max="6" width="18.42578125" bestFit="1" customWidth="1"/>
    <col min="7" max="7" width="66.42578125" bestFit="1" customWidth="1"/>
  </cols>
  <sheetData>
    <row r="1" spans="1:7">
      <c r="A1" t="s">
        <v>637</v>
      </c>
      <c r="B1" t="s">
        <v>638</v>
      </c>
      <c r="F1" t="s">
        <v>639</v>
      </c>
      <c r="G1" t="s">
        <v>640</v>
      </c>
    </row>
    <row r="2" spans="1:7">
      <c r="A2" t="s">
        <v>641</v>
      </c>
      <c r="B2" t="s">
        <v>642</v>
      </c>
      <c r="F2" t="s">
        <v>643</v>
      </c>
      <c r="G2" t="s">
        <v>644</v>
      </c>
    </row>
    <row r="3" spans="1:7">
      <c r="A3" t="s">
        <v>645</v>
      </c>
      <c r="B3" t="s">
        <v>646</v>
      </c>
      <c r="F3" t="s">
        <v>647</v>
      </c>
      <c r="G3" t="s">
        <v>648</v>
      </c>
    </row>
    <row r="4" spans="1:7">
      <c r="A4" t="s">
        <v>649</v>
      </c>
      <c r="B4" t="s">
        <v>646</v>
      </c>
      <c r="F4" t="s">
        <v>539</v>
      </c>
      <c r="G4" t="s">
        <v>650</v>
      </c>
    </row>
    <row r="5" spans="1:7">
      <c r="A5" t="s">
        <v>651</v>
      </c>
      <c r="B5" t="s">
        <v>652</v>
      </c>
      <c r="F5" t="s">
        <v>653</v>
      </c>
      <c r="G5" t="s">
        <v>654</v>
      </c>
    </row>
    <row r="6" spans="1:7">
      <c r="A6" t="s">
        <v>655</v>
      </c>
      <c r="F6" t="s">
        <v>656</v>
      </c>
      <c r="G6" t="s">
        <v>657</v>
      </c>
    </row>
    <row r="7" spans="1:7">
      <c r="A7" t="s">
        <v>658</v>
      </c>
      <c r="B7" t="s">
        <v>659</v>
      </c>
      <c r="F7" t="s">
        <v>660</v>
      </c>
      <c r="G7" t="s">
        <v>661</v>
      </c>
    </row>
    <row r="8" spans="1:7">
      <c r="A8" t="s">
        <v>662</v>
      </c>
      <c r="B8" t="s">
        <v>663</v>
      </c>
      <c r="F8" t="s">
        <v>664</v>
      </c>
      <c r="G8" t="s">
        <v>665</v>
      </c>
    </row>
    <row r="9" spans="1:7">
      <c r="A9" t="s">
        <v>666</v>
      </c>
      <c r="B9" t="s">
        <v>667</v>
      </c>
      <c r="F9" t="s">
        <v>668</v>
      </c>
      <c r="G9" t="s">
        <v>669</v>
      </c>
    </row>
    <row r="10" spans="1:7">
      <c r="A10" t="s">
        <v>670</v>
      </c>
      <c r="B10" t="s">
        <v>671</v>
      </c>
      <c r="F10" t="s">
        <v>672</v>
      </c>
      <c r="G10" t="s">
        <v>673</v>
      </c>
    </row>
    <row r="11" spans="1:7">
      <c r="A11" t="s">
        <v>674</v>
      </c>
      <c r="B11" t="s">
        <v>675</v>
      </c>
      <c r="F11" t="s">
        <v>676</v>
      </c>
      <c r="G11" t="s">
        <v>676</v>
      </c>
    </row>
    <row r="12" spans="1:7">
      <c r="F12" t="s">
        <v>677</v>
      </c>
      <c r="G12" t="s">
        <v>678</v>
      </c>
    </row>
    <row r="13" spans="1:7">
      <c r="F13" t="s">
        <v>679</v>
      </c>
      <c r="G13" t="s">
        <v>680</v>
      </c>
    </row>
    <row r="14" spans="1:7">
      <c r="F14" t="s">
        <v>681</v>
      </c>
      <c r="G14" t="s">
        <v>682</v>
      </c>
    </row>
    <row r="15" spans="1:7">
      <c r="F15" t="s">
        <v>683</v>
      </c>
      <c r="G15" t="s">
        <v>684</v>
      </c>
    </row>
    <row r="16" spans="1:7">
      <c r="F16" t="s">
        <v>685</v>
      </c>
      <c r="G16" t="s">
        <v>686</v>
      </c>
    </row>
    <row r="17" spans="6:7">
      <c r="F17" t="s">
        <v>687</v>
      </c>
      <c r="G17" t="s">
        <v>688</v>
      </c>
    </row>
    <row r="18" spans="6:7">
      <c r="F18" t="s">
        <v>558</v>
      </c>
      <c r="G18" t="s">
        <v>689</v>
      </c>
    </row>
    <row r="19" spans="6:7">
      <c r="F19" t="s">
        <v>690</v>
      </c>
      <c r="G19" t="s">
        <v>691</v>
      </c>
    </row>
    <row r="20" spans="6:7">
      <c r="F20" t="s">
        <v>551</v>
      </c>
      <c r="G20" t="s">
        <v>692</v>
      </c>
    </row>
    <row r="21" spans="6:7">
      <c r="F21" t="s">
        <v>693</v>
      </c>
      <c r="G21" t="s">
        <v>694</v>
      </c>
    </row>
    <row r="22" spans="6:7">
      <c r="F22" t="s">
        <v>695</v>
      </c>
      <c r="G22" t="s">
        <v>696</v>
      </c>
    </row>
    <row r="23" spans="6:7">
      <c r="F23" t="s">
        <v>697</v>
      </c>
      <c r="G23" t="s">
        <v>698</v>
      </c>
    </row>
    <row r="24" spans="6:7">
      <c r="F24" t="s">
        <v>699</v>
      </c>
      <c r="G24" t="s">
        <v>700</v>
      </c>
    </row>
    <row r="25" spans="6:7">
      <c r="F25" t="s">
        <v>701</v>
      </c>
      <c r="G25" t="s">
        <v>702</v>
      </c>
    </row>
    <row r="26" spans="6:7">
      <c r="F26" t="s">
        <v>703</v>
      </c>
      <c r="G26" t="s">
        <v>704</v>
      </c>
    </row>
    <row r="27" spans="6:7">
      <c r="F27" t="s">
        <v>705</v>
      </c>
      <c r="G27" t="s">
        <v>706</v>
      </c>
    </row>
    <row r="28" spans="6:7">
      <c r="F28" t="s">
        <v>707</v>
      </c>
      <c r="G28" t="s">
        <v>708</v>
      </c>
    </row>
    <row r="29" spans="6:7">
      <c r="F29" t="s">
        <v>709</v>
      </c>
      <c r="G29" t="s">
        <v>710</v>
      </c>
    </row>
    <row r="30" spans="6:7">
      <c r="F30" t="s">
        <v>711</v>
      </c>
      <c r="G30" t="s">
        <v>712</v>
      </c>
    </row>
    <row r="31" spans="6:7">
      <c r="F31" t="s">
        <v>713</v>
      </c>
      <c r="G31" t="s">
        <v>714</v>
      </c>
    </row>
    <row r="32" spans="6:7">
      <c r="F32" t="s">
        <v>715</v>
      </c>
      <c r="G32" t="s">
        <v>716</v>
      </c>
    </row>
    <row r="33" spans="6:7">
      <c r="F33" t="s">
        <v>717</v>
      </c>
      <c r="G33" t="s">
        <v>718</v>
      </c>
    </row>
    <row r="34" spans="6:7">
      <c r="F34" t="s">
        <v>719</v>
      </c>
      <c r="G34" t="s">
        <v>720</v>
      </c>
    </row>
    <row r="35" spans="6:7">
      <c r="F35" t="s">
        <v>721</v>
      </c>
      <c r="G35" t="s">
        <v>722</v>
      </c>
    </row>
    <row r="36" spans="6:7">
      <c r="F36" t="s">
        <v>723</v>
      </c>
      <c r="G36" t="s">
        <v>724</v>
      </c>
    </row>
    <row r="37" spans="6:7">
      <c r="F37" t="s">
        <v>725</v>
      </c>
      <c r="G37" t="s">
        <v>726</v>
      </c>
    </row>
    <row r="38" spans="6:7">
      <c r="F38" t="s">
        <v>727</v>
      </c>
      <c r="G38" t="s">
        <v>728</v>
      </c>
    </row>
    <row r="39" spans="6:7">
      <c r="F39" t="s">
        <v>729</v>
      </c>
      <c r="G39" t="s">
        <v>730</v>
      </c>
    </row>
    <row r="40" spans="6:7">
      <c r="F40" t="s">
        <v>731</v>
      </c>
      <c r="G40" t="s">
        <v>732</v>
      </c>
    </row>
    <row r="41" spans="6:7">
      <c r="F41" t="s">
        <v>733</v>
      </c>
      <c r="G41" t="s">
        <v>734</v>
      </c>
    </row>
    <row r="42" spans="6:7">
      <c r="F42" t="s">
        <v>735</v>
      </c>
      <c r="G42" t="s">
        <v>736</v>
      </c>
    </row>
    <row r="43" spans="6:7">
      <c r="F43" t="s">
        <v>737</v>
      </c>
      <c r="G43" t="s">
        <v>738</v>
      </c>
    </row>
    <row r="44" spans="6:7">
      <c r="F44" t="s">
        <v>739</v>
      </c>
      <c r="G44" t="s">
        <v>740</v>
      </c>
    </row>
    <row r="45" spans="6:7">
      <c r="F45" t="s">
        <v>741</v>
      </c>
      <c r="G45" t="s">
        <v>742</v>
      </c>
    </row>
    <row r="46" spans="6:7">
      <c r="F46" t="s">
        <v>743</v>
      </c>
      <c r="G46" t="s">
        <v>744</v>
      </c>
    </row>
    <row r="47" spans="6:7">
      <c r="F47" t="s">
        <v>745</v>
      </c>
      <c r="G47" t="s">
        <v>746</v>
      </c>
    </row>
    <row r="48" spans="6:7">
      <c r="F48" t="s">
        <v>747</v>
      </c>
      <c r="G48" t="s">
        <v>748</v>
      </c>
    </row>
    <row r="49" spans="6:7">
      <c r="F49" t="s">
        <v>749</v>
      </c>
      <c r="G49" t="s">
        <v>750</v>
      </c>
    </row>
    <row r="50" spans="6:7">
      <c r="F50" t="s">
        <v>751</v>
      </c>
      <c r="G50" t="s">
        <v>752</v>
      </c>
    </row>
    <row r="51" spans="6:7">
      <c r="F51" t="s">
        <v>753</v>
      </c>
      <c r="G51" t="s">
        <v>754</v>
      </c>
    </row>
  </sheetData>
  <autoFilter ref="F1:G51" xr:uid="{7E6A151B-D2BB-45C8-9161-97257CBF9E54}">
    <sortState xmlns:xlrd2="http://schemas.microsoft.com/office/spreadsheetml/2017/richdata2" ref="F2:G51">
      <sortCondition ref="F1:F51"/>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0868-AEDB-41A8-A900-3FF333E5B494}">
  <dimension ref="A1:F12"/>
  <sheetViews>
    <sheetView workbookViewId="0">
      <selection activeCell="B12" sqref="B12"/>
    </sheetView>
  </sheetViews>
  <sheetFormatPr defaultRowHeight="15"/>
  <cols>
    <col min="1" max="1" width="11.42578125" bestFit="1" customWidth="1"/>
    <col min="2" max="2" width="58.85546875" bestFit="1" customWidth="1"/>
    <col min="3" max="3" width="97.5703125" bestFit="1" customWidth="1"/>
    <col min="4" max="5" width="28.140625" bestFit="1" customWidth="1"/>
    <col min="6" max="6" width="26.7109375" bestFit="1" customWidth="1"/>
  </cols>
  <sheetData>
    <row r="1" spans="1:6">
      <c r="A1" t="s">
        <v>755</v>
      </c>
      <c r="B1" t="s">
        <v>756</v>
      </c>
      <c r="C1" s="1" t="s">
        <v>757</v>
      </c>
      <c r="D1" t="s">
        <v>758</v>
      </c>
      <c r="E1" t="s">
        <v>759</v>
      </c>
      <c r="F1" t="s">
        <v>760</v>
      </c>
    </row>
    <row r="2" spans="1:6">
      <c r="A2" t="s">
        <v>755</v>
      </c>
      <c r="B2" t="s">
        <v>761</v>
      </c>
      <c r="C2" s="1" t="s">
        <v>762</v>
      </c>
      <c r="D2" t="s">
        <v>758</v>
      </c>
      <c r="E2" t="s">
        <v>763</v>
      </c>
      <c r="F2" t="s">
        <v>764</v>
      </c>
    </row>
    <row r="3" spans="1:6">
      <c r="A3" t="s">
        <v>755</v>
      </c>
      <c r="B3" t="s">
        <v>765</v>
      </c>
      <c r="C3" s="1" t="s">
        <v>766</v>
      </c>
      <c r="D3" t="s">
        <v>181</v>
      </c>
      <c r="E3" t="s">
        <v>767</v>
      </c>
      <c r="F3" t="s">
        <v>768</v>
      </c>
    </row>
    <row r="4" spans="1:6">
      <c r="A4" t="s">
        <v>755</v>
      </c>
      <c r="B4" t="s">
        <v>769</v>
      </c>
      <c r="C4" s="1" t="s">
        <v>770</v>
      </c>
      <c r="D4" t="s">
        <v>758</v>
      </c>
      <c r="E4" t="s">
        <v>771</v>
      </c>
      <c r="F4" t="s">
        <v>772</v>
      </c>
    </row>
    <row r="5" spans="1:6">
      <c r="A5" t="s">
        <v>755</v>
      </c>
      <c r="B5" t="s">
        <v>773</v>
      </c>
      <c r="C5" s="1" t="s">
        <v>774</v>
      </c>
      <c r="D5" t="s">
        <v>758</v>
      </c>
      <c r="E5" t="s">
        <v>775</v>
      </c>
      <c r="F5" t="s">
        <v>776</v>
      </c>
    </row>
    <row r="6" spans="1:6">
      <c r="A6" t="s">
        <v>755</v>
      </c>
      <c r="B6" t="s">
        <v>777</v>
      </c>
      <c r="C6" t="s">
        <v>778</v>
      </c>
      <c r="D6" t="s">
        <v>758</v>
      </c>
      <c r="E6" t="s">
        <v>767</v>
      </c>
      <c r="F6" t="s">
        <v>779</v>
      </c>
    </row>
    <row r="7" spans="1:6">
      <c r="A7" t="s">
        <v>755</v>
      </c>
      <c r="B7" t="s">
        <v>780</v>
      </c>
      <c r="C7" t="s">
        <v>781</v>
      </c>
      <c r="D7" t="s">
        <v>758</v>
      </c>
      <c r="E7" t="s">
        <v>767</v>
      </c>
      <c r="F7" t="s">
        <v>782</v>
      </c>
    </row>
    <row r="8" spans="1:6">
      <c r="A8" t="s">
        <v>755</v>
      </c>
      <c r="B8" t="s">
        <v>783</v>
      </c>
      <c r="C8" s="1" t="s">
        <v>784</v>
      </c>
      <c r="D8" t="s">
        <v>758</v>
      </c>
      <c r="E8" t="s">
        <v>758</v>
      </c>
      <c r="F8" t="s">
        <v>768</v>
      </c>
    </row>
    <row r="9" spans="1:6">
      <c r="A9" t="s">
        <v>755</v>
      </c>
      <c r="B9" t="s">
        <v>785</v>
      </c>
      <c r="C9" s="1" t="s">
        <v>786</v>
      </c>
      <c r="D9" t="s">
        <v>758</v>
      </c>
      <c r="E9" t="s">
        <v>787</v>
      </c>
      <c r="F9" t="s">
        <v>788</v>
      </c>
    </row>
    <row r="10" spans="1:6">
      <c r="A10" t="s">
        <v>755</v>
      </c>
      <c r="B10" t="s">
        <v>219</v>
      </c>
      <c r="C10" t="s">
        <v>181</v>
      </c>
      <c r="D10" t="s">
        <v>789</v>
      </c>
      <c r="E10" t="s">
        <v>790</v>
      </c>
      <c r="F10" t="s">
        <v>791</v>
      </c>
    </row>
    <row r="11" spans="1:6">
      <c r="A11" t="s">
        <v>755</v>
      </c>
      <c r="B11" t="s">
        <v>208</v>
      </c>
      <c r="C11" s="1" t="s">
        <v>792</v>
      </c>
      <c r="D11" t="s">
        <v>181</v>
      </c>
      <c r="E11" t="s">
        <v>793</v>
      </c>
      <c r="F11" t="s">
        <v>794</v>
      </c>
    </row>
    <row r="12" spans="1:6">
      <c r="A12" t="s">
        <v>755</v>
      </c>
      <c r="B12" t="s">
        <v>254</v>
      </c>
      <c r="C12" s="1" t="s">
        <v>210</v>
      </c>
      <c r="D12" t="s">
        <v>758</v>
      </c>
      <c r="E12" t="s">
        <v>758</v>
      </c>
      <c r="F12" t="s">
        <v>782</v>
      </c>
    </row>
  </sheetData>
  <hyperlinks>
    <hyperlink ref="C1" r:id="rId1" xr:uid="{87D5DD2C-AF6E-4B9F-A0CD-06B13FE7E803}"/>
    <hyperlink ref="C2" r:id="rId2" xr:uid="{49F3C89C-AD72-4BC0-BBDC-07D42ABA1FB9}"/>
    <hyperlink ref="C3" r:id="rId3" xr:uid="{55D3437F-4479-4046-B820-24C4A08306FB}"/>
    <hyperlink ref="C4" r:id="rId4" location="!/" xr:uid="{59782519-F0E0-437B-BD25-CEAA20EDDABA}"/>
    <hyperlink ref="C5" r:id="rId5" xr:uid="{E704C0CB-C05C-4742-84D6-3E41D049B549}"/>
    <hyperlink ref="C8" r:id="rId6" xr:uid="{C1C4895A-70FE-427E-A307-257CB5F5AFDA}"/>
    <hyperlink ref="C9" r:id="rId7" xr:uid="{127E0A81-4DD9-4215-B2C1-D86FC5176D6F}"/>
    <hyperlink ref="C11" r:id="rId8" xr:uid="{68DA6C76-8936-414D-8B70-8CEB4D31928C}"/>
    <hyperlink ref="C12" r:id="rId9" xr:uid="{7F9BE0B6-FB73-425B-A49B-F4A2DFA33CD6}"/>
  </hyperlinks>
  <pageMargins left="0.7" right="0.7" top="0.75" bottom="0.75" header="0.3" footer="0.3"/>
</worksheet>
</file>

<file path=docMetadata/LabelInfo.xml><?xml version="1.0" encoding="utf-8"?>
<clbl:labelList xmlns:clbl="http://schemas.microsoft.com/office/2020/mipLabelMetadata">
  <clbl:label id="{fbf47bbe-a0a2-4c04-9ba4-22f94012202d}" enabled="1" method="Standard" siteId="{69602cf4-a76e-4265-955f-03c329c5060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2025-05-21T17:13:51Z</dcterms:created>
  <dcterms:modified xsi:type="dcterms:W3CDTF">2026-02-04T17:50:53Z</dcterms:modified>
  <cp:category/>
  <cp:contentStatus/>
</cp:coreProperties>
</file>